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C:\Users\Tony\Desktop\Segmented Bowl\"/>
    </mc:Choice>
  </mc:AlternateContent>
  <bookViews>
    <workbookView xWindow="0" yWindow="0" windowWidth="4995" windowHeight="4260"/>
  </bookViews>
  <sheets>
    <sheet name="Vessel #1" sheetId="1" r:id="rId1"/>
    <sheet name="Sheet2" sheetId="8" r:id="rId2"/>
    <sheet name="Vessel #4" sheetId="6" r:id="rId3"/>
    <sheet name="Sheet1" sheetId="7" r:id="rId4"/>
    <sheet name="Sheet5" sheetId="5" r:id="rId5"/>
    <sheet name="Joe's Designs" sheetId="4" r:id="rId6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N6" i="1" l="1"/>
  <c r="C3" i="8"/>
  <c r="D3" i="8"/>
  <c r="E3" i="8"/>
  <c r="F3" i="8"/>
  <c r="G3" i="8"/>
  <c r="H3" i="8"/>
  <c r="I3" i="8"/>
  <c r="J3" i="8"/>
  <c r="K3" i="8"/>
  <c r="L3" i="8"/>
  <c r="M3" i="8"/>
  <c r="N3" i="8"/>
  <c r="O3" i="8"/>
  <c r="P3" i="8"/>
  <c r="Q3" i="8"/>
  <c r="R3" i="8"/>
  <c r="S3" i="8"/>
  <c r="T3" i="8"/>
  <c r="U3" i="8"/>
  <c r="V3" i="8"/>
  <c r="W3" i="8"/>
  <c r="X3" i="8"/>
  <c r="Y3" i="8"/>
  <c r="Z3" i="8"/>
  <c r="AA3" i="8"/>
  <c r="AB3" i="8"/>
  <c r="AC3" i="8"/>
  <c r="AD3" i="8"/>
  <c r="AE3" i="8"/>
  <c r="AF3" i="8"/>
  <c r="AG3" i="8"/>
  <c r="AH3" i="8"/>
  <c r="AI3" i="8"/>
  <c r="AJ3" i="8"/>
  <c r="AK3" i="8"/>
  <c r="AL3" i="8"/>
  <c r="AM3" i="8"/>
  <c r="AN3" i="8"/>
  <c r="AO3" i="8"/>
  <c r="AP3" i="8"/>
  <c r="AQ3" i="8"/>
  <c r="AR3" i="8"/>
  <c r="AS3" i="8"/>
  <c r="AT3" i="8"/>
  <c r="AU3" i="8"/>
  <c r="AV3" i="8"/>
  <c r="AW3" i="8"/>
  <c r="B3" i="8"/>
  <c r="I44" i="1"/>
  <c r="N44" i="1"/>
  <c r="N33" i="1"/>
  <c r="N22" i="1"/>
  <c r="N12" i="1"/>
  <c r="F45" i="1"/>
  <c r="D44" i="1"/>
  <c r="D45" i="1"/>
  <c r="D43" i="1"/>
  <c r="N16" i="1"/>
  <c r="N17" i="1"/>
  <c r="N18" i="1"/>
  <c r="N19" i="1"/>
  <c r="N15" i="1"/>
  <c r="I16" i="1"/>
  <c r="I17" i="1"/>
  <c r="I18" i="1"/>
  <c r="I19" i="1"/>
  <c r="I15" i="1"/>
  <c r="D16" i="1"/>
  <c r="D17" i="1"/>
  <c r="D18" i="1"/>
  <c r="D19" i="1"/>
  <c r="D15" i="1"/>
  <c r="N7" i="1"/>
  <c r="N8" i="1"/>
  <c r="N9" i="1"/>
  <c r="I7" i="1"/>
  <c r="I3" i="1" s="1"/>
  <c r="I8" i="1"/>
  <c r="I9" i="1"/>
  <c r="I6" i="1"/>
  <c r="D7" i="1"/>
  <c r="D8" i="1"/>
  <c r="D9" i="1"/>
  <c r="D6" i="1"/>
  <c r="I36" i="1"/>
  <c r="I33" i="1" s="1"/>
  <c r="D26" i="1"/>
  <c r="D27" i="1"/>
  <c r="D28" i="1"/>
  <c r="D29" i="1"/>
  <c r="D30" i="1"/>
  <c r="D25" i="1"/>
  <c r="I26" i="1"/>
  <c r="I27" i="1"/>
  <c r="I28" i="1"/>
  <c r="I29" i="1"/>
  <c r="I30" i="1"/>
  <c r="I25" i="1"/>
  <c r="I22" i="1" s="1"/>
  <c r="N26" i="1"/>
  <c r="N27" i="1"/>
  <c r="N28" i="1"/>
  <c r="N29" i="1"/>
  <c r="N30" i="1"/>
  <c r="N25" i="1"/>
  <c r="N37" i="1"/>
  <c r="N38" i="1"/>
  <c r="N39" i="1"/>
  <c r="N40" i="1"/>
  <c r="N41" i="1"/>
  <c r="N42" i="1"/>
  <c r="N36" i="1"/>
  <c r="I37" i="1"/>
  <c r="I38" i="1"/>
  <c r="I39" i="1"/>
  <c r="I40" i="1"/>
  <c r="I41" i="1"/>
  <c r="I42" i="1"/>
  <c r="D37" i="1"/>
  <c r="D38" i="1"/>
  <c r="D39" i="1"/>
  <c r="D40" i="1"/>
  <c r="D41" i="1"/>
  <c r="D42" i="1"/>
  <c r="D36" i="1"/>
  <c r="D22" i="1" l="1"/>
  <c r="D3" i="1"/>
  <c r="N3" i="1"/>
  <c r="D12" i="1"/>
  <c r="D33" i="1"/>
  <c r="I12" i="1"/>
  <c r="B51" i="7"/>
  <c r="B52" i="7"/>
  <c r="B53" i="7"/>
  <c r="B54" i="7"/>
  <c r="B55" i="7"/>
  <c r="B56" i="7"/>
  <c r="B57" i="7"/>
  <c r="B58" i="7"/>
  <c r="B59" i="7"/>
  <c r="B60" i="7"/>
  <c r="B61" i="7"/>
  <c r="B62" i="7"/>
  <c r="B63" i="7"/>
  <c r="B64" i="7"/>
  <c r="B65" i="7"/>
  <c r="B66" i="7"/>
  <c r="B67" i="7"/>
  <c r="B68" i="7"/>
  <c r="B69" i="7"/>
  <c r="B70" i="7"/>
  <c r="B71" i="7"/>
  <c r="B72" i="7"/>
  <c r="B73" i="7"/>
  <c r="B74" i="7"/>
  <c r="B75" i="7"/>
  <c r="B9" i="7"/>
  <c r="B10" i="7"/>
  <c r="B11" i="7"/>
  <c r="B12" i="7"/>
  <c r="B13" i="7"/>
  <c r="B14" i="7"/>
  <c r="B15" i="7"/>
  <c r="B16" i="7"/>
  <c r="B17" i="7"/>
  <c r="B18" i="7"/>
  <c r="B19" i="7"/>
  <c r="B20" i="7"/>
  <c r="B21" i="7"/>
  <c r="B22" i="7"/>
  <c r="B23" i="7"/>
  <c r="B24" i="7"/>
  <c r="B25" i="7"/>
  <c r="B26" i="7"/>
  <c r="B27" i="7"/>
  <c r="B28" i="7"/>
  <c r="B29" i="7"/>
  <c r="B30" i="7"/>
  <c r="B31" i="7"/>
  <c r="B32" i="7"/>
  <c r="B33" i="7"/>
  <c r="B34" i="7"/>
  <c r="B35" i="7"/>
  <c r="B36" i="7"/>
  <c r="B37" i="7"/>
  <c r="B38" i="7"/>
  <c r="B39" i="7"/>
  <c r="B40" i="7"/>
  <c r="B41" i="7"/>
  <c r="B42" i="7"/>
  <c r="B43" i="7"/>
  <c r="B44" i="7"/>
  <c r="B45" i="7"/>
  <c r="B46" i="7"/>
  <c r="B47" i="7"/>
  <c r="B48" i="7"/>
  <c r="B49" i="7"/>
  <c r="B50" i="7"/>
  <c r="B2" i="7"/>
  <c r="B3" i="7"/>
  <c r="B4" i="7"/>
  <c r="B5" i="7"/>
  <c r="B6" i="7"/>
  <c r="B7" i="7"/>
  <c r="B8" i="7"/>
  <c r="B1" i="7"/>
  <c r="N19" i="6" l="1"/>
  <c r="O19" i="6"/>
  <c r="N17" i="6"/>
  <c r="O17" i="6" s="1"/>
  <c r="O18" i="6"/>
  <c r="O11" i="6"/>
  <c r="N12" i="6"/>
  <c r="O12" i="6" s="1"/>
  <c r="N13" i="6"/>
  <c r="O13" i="6" s="1"/>
  <c r="N14" i="6"/>
  <c r="O14" i="6" s="1"/>
  <c r="N15" i="6"/>
  <c r="O15" i="6" s="1"/>
  <c r="N16" i="6"/>
  <c r="O16" i="6" s="1"/>
  <c r="N18" i="6"/>
  <c r="N20" i="6"/>
  <c r="O20" i="6" s="1"/>
  <c r="N21" i="6"/>
  <c r="O21" i="6" s="1"/>
  <c r="N22" i="6"/>
  <c r="O22" i="6" s="1"/>
  <c r="N23" i="6"/>
  <c r="O23" i="6" s="1"/>
  <c r="N24" i="6"/>
  <c r="O24" i="6" s="1"/>
  <c r="N25" i="6"/>
  <c r="O25" i="6" s="1"/>
  <c r="N26" i="6"/>
  <c r="O26" i="6" s="1"/>
  <c r="N27" i="6"/>
  <c r="O27" i="6" s="1"/>
  <c r="N28" i="6"/>
  <c r="O28" i="6" s="1"/>
  <c r="N29" i="6"/>
  <c r="O29" i="6" s="1"/>
  <c r="N30" i="6"/>
  <c r="O30" i="6" s="1"/>
  <c r="N31" i="6"/>
  <c r="O31" i="6" s="1"/>
  <c r="N32" i="6"/>
  <c r="O32" i="6" s="1"/>
  <c r="N33" i="6"/>
  <c r="O33" i="6" s="1"/>
  <c r="N34" i="6"/>
  <c r="O34" i="6" s="1"/>
  <c r="N11" i="6"/>
  <c r="U16" i="6" l="1"/>
  <c r="U15" i="6"/>
  <c r="U14" i="6"/>
  <c r="U7" i="6"/>
  <c r="U8" i="6"/>
  <c r="U4" i="6" l="1"/>
  <c r="U11" i="6"/>
  <c r="U10" i="6"/>
  <c r="U6" i="6"/>
  <c r="U9" i="6"/>
  <c r="U12" i="6"/>
  <c r="U13" i="6"/>
  <c r="U5" i="6"/>
</calcChain>
</file>

<file path=xl/sharedStrings.xml><?xml version="1.0" encoding="utf-8"?>
<sst xmlns="http://schemas.openxmlformats.org/spreadsheetml/2006/main" count="330" uniqueCount="50">
  <si>
    <t>Layer</t>
  </si>
  <si>
    <t>Angle</t>
  </si>
  <si>
    <t>Width (W)</t>
  </si>
  <si>
    <t>Base Length (L)</t>
  </si>
  <si>
    <t>Sides</t>
  </si>
  <si>
    <t>Base</t>
  </si>
  <si>
    <t>Joe's 1st Lidded Vessel</t>
  </si>
  <si>
    <t>Lid</t>
  </si>
  <si>
    <t>title</t>
  </si>
  <si>
    <t>Length (L)</t>
  </si>
  <si>
    <r>
      <t xml:space="preserve">6" Small Bowl - 12 Sides - </t>
    </r>
    <r>
      <rPr>
        <sz val="11"/>
        <color theme="1"/>
        <rFont val="Calibri"/>
        <family val="2"/>
      </rPr>
      <t>θ=75°</t>
    </r>
  </si>
  <si>
    <r>
      <t xml:space="preserve">6" Small Bowl - 16 Sides - </t>
    </r>
    <r>
      <rPr>
        <sz val="11"/>
        <color theme="1"/>
        <rFont val="Calibri"/>
        <family val="2"/>
      </rPr>
      <t>θ=78.75°</t>
    </r>
  </si>
  <si>
    <r>
      <t xml:space="preserve">6" Small Bowl - 24 Sides - </t>
    </r>
    <r>
      <rPr>
        <sz val="11"/>
        <color theme="1"/>
        <rFont val="Calibri"/>
        <family val="2"/>
      </rPr>
      <t>θ=82.5°</t>
    </r>
  </si>
  <si>
    <t>9" Medium Bowl - 12 Sides - θ=75°</t>
  </si>
  <si>
    <t>9" Medium Bowl - 16 Sides - θ=78.75°</t>
  </si>
  <si>
    <t>9" Medium Bowl - 24 Sides - θ=82.5°</t>
  </si>
  <si>
    <t>12" Large Bowl - 12 Sides - θ=75°</t>
  </si>
  <si>
    <t>12" Large Bowl - 16 Sides - θ=78.75°</t>
  </si>
  <si>
    <t>12" Large Bowl - 24 Sides - θ=82.5°</t>
  </si>
  <si>
    <t>15" Extra Large Bowl - 12 Sides - θ=75°</t>
  </si>
  <si>
    <t>15" Extra Large Bowl - 16 Sides - θ=78.75°</t>
  </si>
  <si>
    <t>15" Extra Large Bowl - 24 Sides - θ=82.5°</t>
  </si>
  <si>
    <t>10" Vessel #4 - 12 Sides - θ=75°</t>
  </si>
  <si>
    <t>10" Vessel #4 - 16 Sides - θ=78.75°, Wall = .65"</t>
  </si>
  <si>
    <t>10" Vessel #4 - 24 Sides - θ=82.5°</t>
  </si>
  <si>
    <r>
      <t xml:space="preserve">6" Vessel #4 - 12 Sides - </t>
    </r>
    <r>
      <rPr>
        <sz val="11"/>
        <color theme="1"/>
        <rFont val="Calibri"/>
        <family val="2"/>
      </rPr>
      <t>θ=75°</t>
    </r>
  </si>
  <si>
    <r>
      <t xml:space="preserve">6" Vessel #4 - 16 Sides - </t>
    </r>
    <r>
      <rPr>
        <sz val="11"/>
        <color theme="1"/>
        <rFont val="Calibri"/>
        <family val="2"/>
      </rPr>
      <t>θ=78.75°, Wall = .50"</t>
    </r>
  </si>
  <si>
    <r>
      <t xml:space="preserve">6" Vessel #4 - 24 Sides - </t>
    </r>
    <r>
      <rPr>
        <sz val="11"/>
        <color theme="1"/>
        <rFont val="Calibri"/>
        <family val="2"/>
      </rPr>
      <t>θ=82.5°</t>
    </r>
  </si>
  <si>
    <t>8" Vessel #4 - 12 Sides - θ=75°</t>
  </si>
  <si>
    <t>8" Vessel #4 - 24 Sides - θ=82.5°</t>
  </si>
  <si>
    <t>12.5" Vessel #4 - 12 Sides - θ=75°</t>
  </si>
  <si>
    <t>12.5" Vessel #4 - 24 Sides - θ=82.5°</t>
  </si>
  <si>
    <t>12.5" Vessel #4 - 16 Sides - θ=78.75°, Wall=.75"</t>
  </si>
  <si>
    <t>8" Vessel #4 - 16 Sides - θ=78.75°, Wall=.55"</t>
  </si>
  <si>
    <r>
      <t xml:space="preserve">6" Vessel #4 - 36 Sides - </t>
    </r>
    <r>
      <rPr>
        <sz val="11"/>
        <color theme="1"/>
        <rFont val="Calibri"/>
        <family val="2"/>
      </rPr>
      <t>θ=85°</t>
    </r>
  </si>
  <si>
    <t>half angle</t>
  </si>
  <si>
    <t>theta</t>
  </si>
  <si>
    <t>x</t>
  </si>
  <si>
    <t>a</t>
  </si>
  <si>
    <t>b</t>
  </si>
  <si>
    <t>c</t>
  </si>
  <si>
    <t>Strip Length(S)</t>
  </si>
  <si>
    <t>Ø</t>
  </si>
  <si>
    <t>n</t>
  </si>
  <si>
    <t>θ°</t>
  </si>
  <si>
    <t>in^3</t>
  </si>
  <si>
    <t>Maple</t>
  </si>
  <si>
    <t>Walnut 1</t>
  </si>
  <si>
    <t>Walnut 2</t>
  </si>
  <si>
    <t>Perimeter (P)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</si>
</sst>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64" formatCode="0.000000"/>
  </numFmts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1"/>
      <name val="Calibri"/>
      <family val="2"/>
    </font>
  </fonts>
  <fills count="7">
    <fill>
      <patternFill patternType="none"/>
    </fill>
    <fill>
      <patternFill patternType="gray125"/>
    </fill>
    <fill>
      <patternFill patternType="solid">
        <fgColor theme="0" tint="-0.249977111117893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C00000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</borders>
  <cellStyleXfs count="1">
    <xf numFmtId="0" fontId="0" fillId="0" borderId="0"/>
  </cellStyleXfs>
  <cellXfs count="41">
    <xf numFmtId="0" fontId="0" fillId="0" borderId="0" xfId="0"/>
    <xf numFmtId="0" fontId="0" fillId="0" borderId="1" xfId="0" applyBorder="1"/>
    <xf numFmtId="2" fontId="0" fillId="0" borderId="1" xfId="0" applyNumberFormat="1" applyBorder="1"/>
    <xf numFmtId="2" fontId="0" fillId="0" borderId="0" xfId="0" applyNumberFormat="1"/>
    <xf numFmtId="0" fontId="0" fillId="0" borderId="0" xfId="0" applyAlignment="1">
      <alignment wrapText="1"/>
    </xf>
    <xf numFmtId="2" fontId="0" fillId="2" borderId="1" xfId="0" applyNumberFormat="1" applyFill="1" applyBorder="1"/>
    <xf numFmtId="0" fontId="0" fillId="0" borderId="0" xfId="0" applyAlignment="1">
      <alignment vertical="center" wrapText="1"/>
    </xf>
    <xf numFmtId="0" fontId="1" fillId="0" borderId="1" xfId="0" applyFont="1" applyBorder="1"/>
    <xf numFmtId="164" fontId="0" fillId="0" borderId="0" xfId="0" applyNumberFormat="1"/>
    <xf numFmtId="0" fontId="0" fillId="6" borderId="1" xfId="0" applyFill="1" applyBorder="1" applyAlignment="1">
      <alignment horizontal="center" wrapText="1"/>
    </xf>
    <xf numFmtId="0" fontId="0" fillId="5" borderId="1" xfId="0" applyFill="1" applyBorder="1" applyAlignment="1">
      <alignment horizontal="center" wrapText="1"/>
    </xf>
    <xf numFmtId="0" fontId="0" fillId="4" borderId="1" xfId="0" applyFill="1" applyBorder="1" applyAlignment="1">
      <alignment horizontal="center" wrapText="1"/>
    </xf>
    <xf numFmtId="0" fontId="0" fillId="3" borderId="1" xfId="0" applyFill="1" applyBorder="1" applyAlignment="1">
      <alignment horizontal="center" wrapText="1"/>
    </xf>
    <xf numFmtId="0" fontId="0" fillId="6" borderId="1" xfId="0" applyFill="1" applyBorder="1" applyAlignment="1">
      <alignment horizontal="center" wrapText="1"/>
    </xf>
    <xf numFmtId="0" fontId="0" fillId="5" borderId="1" xfId="0" applyFill="1" applyBorder="1" applyAlignment="1">
      <alignment horizontal="center" wrapText="1"/>
    </xf>
    <xf numFmtId="0" fontId="0" fillId="4" borderId="1" xfId="0" applyFill="1" applyBorder="1" applyAlignment="1">
      <alignment horizontal="center" wrapText="1"/>
    </xf>
    <xf numFmtId="0" fontId="0" fillId="3" borderId="1" xfId="0" applyFill="1" applyBorder="1" applyAlignment="1">
      <alignment horizontal="center" wrapText="1"/>
    </xf>
    <xf numFmtId="0" fontId="0" fillId="0" borderId="1" xfId="0" applyBorder="1" applyAlignment="1">
      <alignment horizontal="center" wrapText="1"/>
    </xf>
    <xf numFmtId="0" fontId="0" fillId="0" borderId="2" xfId="0" applyBorder="1" applyAlignment="1">
      <alignment horizontal="center"/>
    </xf>
    <xf numFmtId="0" fontId="0" fillId="6" borderId="0" xfId="0" applyFill="1" applyBorder="1" applyAlignment="1">
      <alignment horizontal="center" wrapText="1"/>
    </xf>
    <xf numFmtId="2" fontId="0" fillId="0" borderId="0" xfId="0" applyNumberFormat="1" applyBorder="1"/>
    <xf numFmtId="2" fontId="0" fillId="2" borderId="0" xfId="0" applyNumberFormat="1" applyFill="1" applyBorder="1"/>
    <xf numFmtId="0" fontId="0" fillId="5" borderId="0" xfId="0" applyFill="1" applyBorder="1" applyAlignment="1">
      <alignment horizontal="center" wrapText="1"/>
    </xf>
    <xf numFmtId="0" fontId="0" fillId="4" borderId="0" xfId="0" applyFill="1" applyBorder="1" applyAlignment="1">
      <alignment horizontal="center" wrapText="1"/>
    </xf>
    <xf numFmtId="0" fontId="0" fillId="3" borderId="0" xfId="0" applyFill="1" applyBorder="1" applyAlignment="1">
      <alignment horizontal="center" wrapText="1"/>
    </xf>
    <xf numFmtId="0" fontId="0" fillId="0" borderId="1" xfId="0" applyBorder="1" applyAlignment="1">
      <alignment wrapText="1"/>
    </xf>
    <xf numFmtId="2" fontId="0" fillId="0" borderId="1" xfId="0" applyNumberFormat="1" applyBorder="1" applyAlignment="1">
      <alignment wrapText="1"/>
    </xf>
    <xf numFmtId="2" fontId="0" fillId="0" borderId="0" xfId="0" applyNumberFormat="1" applyBorder="1" applyAlignment="1">
      <alignment wrapText="1"/>
    </xf>
    <xf numFmtId="2" fontId="0" fillId="0" borderId="0" xfId="0" applyNumberFormat="1" applyAlignment="1">
      <alignment wrapText="1"/>
    </xf>
    <xf numFmtId="0" fontId="0" fillId="3" borderId="1" xfId="0" applyFill="1" applyBorder="1" applyAlignment="1">
      <alignment wrapText="1"/>
    </xf>
    <xf numFmtId="0" fontId="0" fillId="4" borderId="1" xfId="0" applyFill="1" applyBorder="1" applyAlignment="1">
      <alignment wrapText="1"/>
    </xf>
    <xf numFmtId="0" fontId="0" fillId="5" borderId="1" xfId="0" applyFill="1" applyBorder="1" applyAlignment="1">
      <alignment wrapText="1"/>
    </xf>
    <xf numFmtId="0" fontId="0" fillId="6" borderId="1" xfId="0" applyFill="1" applyBorder="1" applyAlignment="1">
      <alignment wrapText="1"/>
    </xf>
    <xf numFmtId="0" fontId="2" fillId="5" borderId="1" xfId="0" applyFont="1" applyFill="1" applyBorder="1" applyAlignment="1">
      <alignment wrapText="1"/>
    </xf>
    <xf numFmtId="0" fontId="0" fillId="6" borderId="0" xfId="0" applyFill="1" applyBorder="1" applyAlignment="1">
      <alignment wrapText="1"/>
    </xf>
    <xf numFmtId="0" fontId="0" fillId="5" borderId="0" xfId="0" applyFill="1" applyBorder="1" applyAlignment="1">
      <alignment wrapText="1"/>
    </xf>
    <xf numFmtId="0" fontId="0" fillId="4" borderId="0" xfId="0" applyFill="1" applyBorder="1" applyAlignment="1">
      <alignment wrapText="1"/>
    </xf>
    <xf numFmtId="0" fontId="0" fillId="3" borderId="0" xfId="0" applyFill="1" applyBorder="1" applyAlignment="1">
      <alignment wrapText="1"/>
    </xf>
    <xf numFmtId="0" fontId="0" fillId="4" borderId="1" xfId="0" applyFill="1" applyBorder="1"/>
    <xf numFmtId="0" fontId="2" fillId="4" borderId="1" xfId="0" applyFont="1" applyFill="1" applyBorder="1"/>
    <xf numFmtId="2" fontId="0" fillId="4" borderId="1" xfId="0" applyNumberFormat="1" applyFill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2:AB45"/>
  <sheetViews>
    <sheetView tabSelected="1" view="pageLayout" zoomScaleNormal="100" workbookViewId="0">
      <selection activeCell="N6" sqref="N6"/>
    </sheetView>
  </sheetViews>
  <sheetFormatPr defaultRowHeight="15" x14ac:dyDescent="0.25"/>
  <cols>
    <col min="1" max="1" width="5.7109375" bestFit="1" customWidth="1"/>
    <col min="2" max="2" width="9.7109375" style="3" bestFit="1" customWidth="1"/>
    <col min="3" max="3" width="10.140625" style="3" bestFit="1" customWidth="1"/>
    <col min="4" max="4" width="9.7109375" style="3" customWidth="1"/>
    <col min="5" max="5" width="2.7109375" customWidth="1"/>
    <col min="6" max="6" width="7.5703125" bestFit="1" customWidth="1"/>
    <col min="7" max="7" width="9.7109375" style="3" bestFit="1" customWidth="1"/>
    <col min="8" max="8" width="10.140625" style="3" bestFit="1" customWidth="1"/>
    <col min="9" max="9" width="9.7109375" style="3" customWidth="1"/>
    <col min="10" max="10" width="1.85546875" customWidth="1"/>
    <col min="11" max="11" width="5.7109375" bestFit="1" customWidth="1"/>
    <col min="12" max="12" width="9.7109375" style="3" customWidth="1"/>
    <col min="13" max="13" width="10.140625" style="3" bestFit="1" customWidth="1"/>
    <col min="14" max="15" width="9.7109375" style="3" customWidth="1"/>
    <col min="16" max="16" width="2.28515625" customWidth="1"/>
    <col min="17" max="17" width="6" bestFit="1" customWidth="1"/>
    <col min="18" max="18" width="10.5703125" style="3" bestFit="1" customWidth="1"/>
    <col min="19" max="19" width="9.85546875" style="3" bestFit="1" customWidth="1"/>
  </cols>
  <sheetData>
    <row r="2" spans="1:28" ht="32.25" customHeight="1" x14ac:dyDescent="0.25">
      <c r="A2" s="32" t="s">
        <v>42</v>
      </c>
      <c r="B2" s="32" t="s">
        <v>44</v>
      </c>
      <c r="C2" s="32" t="s">
        <v>43</v>
      </c>
      <c r="D2" s="32" t="s">
        <v>45</v>
      </c>
      <c r="F2" s="32" t="s">
        <v>42</v>
      </c>
      <c r="G2" s="32" t="s">
        <v>44</v>
      </c>
      <c r="H2" s="32" t="s">
        <v>43</v>
      </c>
      <c r="I2" s="32" t="s">
        <v>45</v>
      </c>
      <c r="K2" s="32" t="s">
        <v>42</v>
      </c>
      <c r="L2" s="32" t="s">
        <v>44</v>
      </c>
      <c r="M2" s="32" t="s">
        <v>43</v>
      </c>
      <c r="N2" s="32" t="s">
        <v>45</v>
      </c>
      <c r="O2" s="34"/>
      <c r="X2" s="4"/>
      <c r="AB2" s="4"/>
    </row>
    <row r="3" spans="1:28" ht="32.25" customHeight="1" x14ac:dyDescent="0.25">
      <c r="A3" s="9">
        <v>6</v>
      </c>
      <c r="B3" s="9">
        <v>75</v>
      </c>
      <c r="C3" s="9">
        <v>12</v>
      </c>
      <c r="D3" s="9">
        <f>($D6*$C6+$D7*$C7+$D8*$C8+$D9*$C9)*0.75</f>
        <v>71.414999999999992</v>
      </c>
      <c r="F3" s="32">
        <v>6</v>
      </c>
      <c r="G3" s="32">
        <v>78.75</v>
      </c>
      <c r="H3" s="32">
        <v>16</v>
      </c>
      <c r="I3" s="32">
        <f>($H6*$I6+$H7*$I7+$H8*$I8+$H9*$I9)*0.75</f>
        <v>73.23</v>
      </c>
      <c r="K3" s="9">
        <v>6</v>
      </c>
      <c r="L3" s="9">
        <v>82.5</v>
      </c>
      <c r="M3" s="9">
        <v>24</v>
      </c>
      <c r="N3" s="9">
        <f>(N6*M6+N7*M7+N8*M8+N9*M9)*0.75</f>
        <v>75.42</v>
      </c>
      <c r="O3" s="19"/>
      <c r="X3" s="4"/>
      <c r="AB3" s="4"/>
    </row>
    <row r="4" spans="1:28" s="4" customFormat="1" ht="30.75" customHeight="1" x14ac:dyDescent="0.25">
      <c r="A4" s="25" t="s">
        <v>0</v>
      </c>
      <c r="B4" s="26" t="s">
        <v>9</v>
      </c>
      <c r="C4" s="26" t="s">
        <v>2</v>
      </c>
      <c r="D4" s="26" t="s">
        <v>49</v>
      </c>
      <c r="F4" s="25" t="s">
        <v>0</v>
      </c>
      <c r="G4" s="26" t="s">
        <v>9</v>
      </c>
      <c r="H4" s="26" t="s">
        <v>2</v>
      </c>
      <c r="I4" s="26" t="s">
        <v>41</v>
      </c>
      <c r="K4" s="25" t="s">
        <v>0</v>
      </c>
      <c r="L4" s="26" t="s">
        <v>9</v>
      </c>
      <c r="M4" s="26" t="s">
        <v>2</v>
      </c>
      <c r="N4" s="26" t="s">
        <v>41</v>
      </c>
      <c r="O4" s="27"/>
      <c r="R4" s="28"/>
      <c r="S4" s="28"/>
    </row>
    <row r="5" spans="1:28" x14ac:dyDescent="0.25">
      <c r="A5" s="1" t="s">
        <v>5</v>
      </c>
      <c r="B5" s="2">
        <v>4.25</v>
      </c>
      <c r="C5" s="2">
        <v>4.25</v>
      </c>
      <c r="D5" s="5"/>
      <c r="F5" s="1" t="s">
        <v>5</v>
      </c>
      <c r="G5" s="2">
        <v>4.25</v>
      </c>
      <c r="H5" s="2">
        <v>4.25</v>
      </c>
      <c r="I5" s="5"/>
      <c r="K5" s="1" t="s">
        <v>5</v>
      </c>
      <c r="L5" s="2">
        <v>4.25</v>
      </c>
      <c r="M5" s="2">
        <v>4.25</v>
      </c>
      <c r="N5" s="5"/>
      <c r="O5" s="21"/>
    </row>
    <row r="6" spans="1:28" x14ac:dyDescent="0.25">
      <c r="A6" s="1">
        <v>1</v>
      </c>
      <c r="B6" s="2">
        <v>1.4</v>
      </c>
      <c r="C6" s="2">
        <v>1.65</v>
      </c>
      <c r="D6" s="2">
        <f>B6*$C$3</f>
        <v>16.799999999999997</v>
      </c>
      <c r="F6" s="1">
        <v>1</v>
      </c>
      <c r="G6" s="2">
        <v>1.05</v>
      </c>
      <c r="H6" s="2">
        <v>1.65</v>
      </c>
      <c r="I6" s="2">
        <f>G6*$H$3</f>
        <v>16.8</v>
      </c>
      <c r="K6" s="1">
        <v>1</v>
      </c>
      <c r="L6" s="2">
        <v>0.7</v>
      </c>
      <c r="M6" s="2">
        <v>1.65</v>
      </c>
      <c r="N6" s="2">
        <f>L6*$M$3</f>
        <v>16.799999999999997</v>
      </c>
      <c r="O6" s="20"/>
    </row>
    <row r="7" spans="1:28" x14ac:dyDescent="0.25">
      <c r="A7" s="1">
        <v>2</v>
      </c>
      <c r="B7" s="2">
        <v>1.6</v>
      </c>
      <c r="C7" s="2">
        <v>1.35</v>
      </c>
      <c r="D7" s="2">
        <f t="shared" ref="D7:D9" si="0">B7*$C$3</f>
        <v>19.200000000000003</v>
      </c>
      <c r="F7" s="1">
        <v>2</v>
      </c>
      <c r="G7" s="2">
        <v>1.2</v>
      </c>
      <c r="H7" s="2">
        <v>1.35</v>
      </c>
      <c r="I7" s="2">
        <f t="shared" ref="I7:I9" si="1">G7*$H$3</f>
        <v>19.2</v>
      </c>
      <c r="K7" s="1">
        <v>2</v>
      </c>
      <c r="L7" s="2">
        <v>0.8</v>
      </c>
      <c r="M7" s="2">
        <v>1.35</v>
      </c>
      <c r="N7" s="2">
        <f t="shared" ref="N7:N9" si="2">L7*$M$3</f>
        <v>19.200000000000003</v>
      </c>
      <c r="O7" s="20"/>
    </row>
    <row r="8" spans="1:28" x14ac:dyDescent="0.25">
      <c r="A8" s="1">
        <v>3</v>
      </c>
      <c r="B8" s="2">
        <v>1.65</v>
      </c>
      <c r="C8" s="2">
        <v>1.1000000000000001</v>
      </c>
      <c r="D8" s="2">
        <f t="shared" si="0"/>
        <v>19.799999999999997</v>
      </c>
      <c r="F8" s="1">
        <v>3</v>
      </c>
      <c r="G8" s="2">
        <v>1.25</v>
      </c>
      <c r="H8" s="2">
        <v>1.1499999999999999</v>
      </c>
      <c r="I8" s="2">
        <f t="shared" si="1"/>
        <v>20</v>
      </c>
      <c r="K8" s="1">
        <v>3</v>
      </c>
      <c r="L8" s="2">
        <v>0.85</v>
      </c>
      <c r="M8" s="2">
        <v>1.2</v>
      </c>
      <c r="N8" s="2">
        <f t="shared" si="2"/>
        <v>20.399999999999999</v>
      </c>
      <c r="O8" s="20"/>
    </row>
    <row r="9" spans="1:28" x14ac:dyDescent="0.25">
      <c r="A9" s="1">
        <v>4</v>
      </c>
      <c r="B9" s="2">
        <v>1.65</v>
      </c>
      <c r="C9" s="2">
        <v>1</v>
      </c>
      <c r="D9" s="2">
        <f t="shared" si="0"/>
        <v>19.799999999999997</v>
      </c>
      <c r="F9" s="1">
        <v>4</v>
      </c>
      <c r="G9" s="2">
        <v>1.25</v>
      </c>
      <c r="H9" s="2">
        <v>1.05</v>
      </c>
      <c r="I9" s="2">
        <f t="shared" si="1"/>
        <v>20</v>
      </c>
      <c r="K9" s="1">
        <v>4</v>
      </c>
      <c r="L9" s="2">
        <v>0.85</v>
      </c>
      <c r="M9" s="2">
        <v>1.1000000000000001</v>
      </c>
      <c r="N9" s="2">
        <f t="shared" si="2"/>
        <v>20.399999999999999</v>
      </c>
      <c r="O9" s="20"/>
    </row>
    <row r="10" spans="1:28" x14ac:dyDescent="0.25">
      <c r="V10" s="3"/>
      <c r="W10" s="3"/>
      <c r="Z10" s="3"/>
      <c r="AA10" s="3"/>
    </row>
    <row r="11" spans="1:28" s="4" customFormat="1" ht="29.25" customHeight="1" x14ac:dyDescent="0.25">
      <c r="A11" s="31" t="s">
        <v>42</v>
      </c>
      <c r="B11" s="31" t="s">
        <v>44</v>
      </c>
      <c r="C11" s="31" t="s">
        <v>43</v>
      </c>
      <c r="D11" s="31" t="s">
        <v>45</v>
      </c>
      <c r="E11"/>
      <c r="F11" s="33" t="s">
        <v>42</v>
      </c>
      <c r="G11" s="31" t="s">
        <v>44</v>
      </c>
      <c r="H11" s="31" t="s">
        <v>43</v>
      </c>
      <c r="I11" s="31" t="s">
        <v>45</v>
      </c>
      <c r="K11" s="31" t="s">
        <v>42</v>
      </c>
      <c r="L11" s="31" t="s">
        <v>44</v>
      </c>
      <c r="M11" s="31" t="s">
        <v>43</v>
      </c>
      <c r="N11" s="31" t="s">
        <v>45</v>
      </c>
      <c r="O11" s="35"/>
      <c r="R11" s="6"/>
    </row>
    <row r="12" spans="1:28" s="4" customFormat="1" ht="29.25" customHeight="1" x14ac:dyDescent="0.25">
      <c r="A12" s="10">
        <v>9</v>
      </c>
      <c r="B12" s="10">
        <v>75</v>
      </c>
      <c r="C12" s="10">
        <v>12</v>
      </c>
      <c r="D12" s="10">
        <f>(D15*C15+D16*C16+D17*C17+D18*C18+D19*C19)*0.75</f>
        <v>148.68</v>
      </c>
      <c r="E12"/>
      <c r="F12" s="10">
        <v>9</v>
      </c>
      <c r="G12" s="10">
        <v>78.75</v>
      </c>
      <c r="H12" s="10">
        <v>16</v>
      </c>
      <c r="I12" s="10">
        <f>(I15*H15+I16*H16+I17*H17+I18*H18+I19*H19)*0.75</f>
        <v>146.97000000000003</v>
      </c>
      <c r="K12" s="10">
        <v>9</v>
      </c>
      <c r="L12" s="10">
        <v>82.5</v>
      </c>
      <c r="M12" s="10">
        <v>24</v>
      </c>
      <c r="N12" s="10">
        <f>(N15*M15+N16*M16+N17*M17+N18*M18+N19*M19)*0.75</f>
        <v>144.85499999999999</v>
      </c>
      <c r="O12" s="22"/>
      <c r="R12" s="6"/>
    </row>
    <row r="13" spans="1:28" ht="30" x14ac:dyDescent="0.25">
      <c r="A13" s="1" t="s">
        <v>0</v>
      </c>
      <c r="B13" s="2" t="s">
        <v>9</v>
      </c>
      <c r="C13" s="2" t="s">
        <v>2</v>
      </c>
      <c r="D13" s="26" t="s">
        <v>41</v>
      </c>
      <c r="F13" s="1" t="s">
        <v>0</v>
      </c>
      <c r="G13" s="2" t="s">
        <v>9</v>
      </c>
      <c r="H13" s="2" t="s">
        <v>2</v>
      </c>
      <c r="I13" s="26" t="s">
        <v>41</v>
      </c>
      <c r="K13" s="1" t="s">
        <v>0</v>
      </c>
      <c r="L13" s="2" t="s">
        <v>9</v>
      </c>
      <c r="M13" s="2" t="s">
        <v>2</v>
      </c>
      <c r="N13" s="26" t="s">
        <v>41</v>
      </c>
      <c r="O13" s="27"/>
    </row>
    <row r="14" spans="1:28" x14ac:dyDescent="0.25">
      <c r="A14" s="1" t="s">
        <v>5</v>
      </c>
      <c r="B14" s="2">
        <v>5</v>
      </c>
      <c r="C14" s="2">
        <v>5</v>
      </c>
      <c r="D14" s="5"/>
      <c r="F14" s="1" t="s">
        <v>5</v>
      </c>
      <c r="G14" s="2">
        <v>5</v>
      </c>
      <c r="H14" s="2">
        <v>5</v>
      </c>
      <c r="I14" s="5"/>
      <c r="K14" s="1" t="s">
        <v>5</v>
      </c>
      <c r="L14" s="2">
        <v>5</v>
      </c>
      <c r="M14" s="2">
        <v>5</v>
      </c>
      <c r="N14" s="5"/>
      <c r="O14" s="21"/>
    </row>
    <row r="15" spans="1:28" x14ac:dyDescent="0.25">
      <c r="A15" s="1">
        <v>1</v>
      </c>
      <c r="B15" s="2">
        <v>1.85</v>
      </c>
      <c r="C15" s="2">
        <v>2.25</v>
      </c>
      <c r="D15" s="2">
        <f>B15*$C$12</f>
        <v>22.200000000000003</v>
      </c>
      <c r="F15" s="1">
        <v>1</v>
      </c>
      <c r="G15" s="2">
        <v>1.35</v>
      </c>
      <c r="H15" s="2">
        <v>2.25</v>
      </c>
      <c r="I15" s="2">
        <f>G15*$H$12</f>
        <v>21.6</v>
      </c>
      <c r="K15" s="1">
        <v>1</v>
      </c>
      <c r="L15" s="2">
        <v>0.9</v>
      </c>
      <c r="M15" s="2">
        <v>2.25</v>
      </c>
      <c r="N15" s="2">
        <f>L15*$M$12</f>
        <v>21.6</v>
      </c>
      <c r="O15" s="20"/>
    </row>
    <row r="16" spans="1:28" x14ac:dyDescent="0.25">
      <c r="A16" s="1">
        <v>2</v>
      </c>
      <c r="B16" s="2">
        <v>2.15</v>
      </c>
      <c r="C16" s="2">
        <v>1.85</v>
      </c>
      <c r="D16" s="2">
        <f t="shared" ref="D16:D19" si="3">B16*$C$12</f>
        <v>25.799999999999997</v>
      </c>
      <c r="F16" s="1">
        <v>2</v>
      </c>
      <c r="G16" s="2">
        <v>1.6</v>
      </c>
      <c r="H16" s="2">
        <v>1.85</v>
      </c>
      <c r="I16" s="2">
        <f t="shared" ref="I16:I19" si="4">G16*$H$12</f>
        <v>25.6</v>
      </c>
      <c r="K16" s="1">
        <v>2</v>
      </c>
      <c r="L16" s="2">
        <v>1.05</v>
      </c>
      <c r="M16" s="2">
        <v>1.8</v>
      </c>
      <c r="N16" s="2">
        <f t="shared" ref="N16:N19" si="5">L16*$M$12</f>
        <v>25.200000000000003</v>
      </c>
      <c r="O16" s="20"/>
    </row>
    <row r="17" spans="1:15" x14ac:dyDescent="0.25">
      <c r="A17" s="1">
        <v>3</v>
      </c>
      <c r="B17" s="2">
        <v>2.2999999999999998</v>
      </c>
      <c r="C17" s="2">
        <v>1.4</v>
      </c>
      <c r="D17" s="2">
        <f t="shared" si="3"/>
        <v>27.599999999999998</v>
      </c>
      <c r="F17" s="1">
        <v>3</v>
      </c>
      <c r="G17" s="2">
        <v>1.7</v>
      </c>
      <c r="H17" s="2">
        <v>1.4</v>
      </c>
      <c r="I17" s="2">
        <f t="shared" si="4"/>
        <v>27.2</v>
      </c>
      <c r="K17" s="1">
        <v>3</v>
      </c>
      <c r="L17" s="2">
        <v>1.1499999999999999</v>
      </c>
      <c r="M17" s="2">
        <v>1.35</v>
      </c>
      <c r="N17" s="2">
        <f t="shared" si="5"/>
        <v>27.599999999999998</v>
      </c>
      <c r="O17" s="20"/>
    </row>
    <row r="18" spans="1:15" x14ac:dyDescent="0.25">
      <c r="A18" s="1">
        <v>4</v>
      </c>
      <c r="B18" s="2">
        <v>2.4</v>
      </c>
      <c r="C18" s="2">
        <v>1.1499999999999999</v>
      </c>
      <c r="D18" s="2">
        <f t="shared" si="3"/>
        <v>28.799999999999997</v>
      </c>
      <c r="F18" s="1">
        <v>4</v>
      </c>
      <c r="G18" s="2">
        <v>1.8</v>
      </c>
      <c r="H18" s="2">
        <v>1.1499999999999999</v>
      </c>
      <c r="I18" s="2">
        <f t="shared" si="4"/>
        <v>28.8</v>
      </c>
      <c r="K18" s="1">
        <v>4</v>
      </c>
      <c r="L18" s="2">
        <v>1.2</v>
      </c>
      <c r="M18" s="2">
        <v>1.1499999999999999</v>
      </c>
      <c r="N18" s="2">
        <f t="shared" si="5"/>
        <v>28.799999999999997</v>
      </c>
      <c r="O18" s="20"/>
    </row>
    <row r="19" spans="1:15" x14ac:dyDescent="0.25">
      <c r="A19" s="1">
        <v>5</v>
      </c>
      <c r="B19" s="2">
        <v>2.4</v>
      </c>
      <c r="C19" s="2">
        <v>1</v>
      </c>
      <c r="D19" s="2">
        <f t="shared" si="3"/>
        <v>28.799999999999997</v>
      </c>
      <c r="F19" s="1">
        <v>5</v>
      </c>
      <c r="G19" s="2">
        <v>1.8</v>
      </c>
      <c r="H19" s="2">
        <v>1</v>
      </c>
      <c r="I19" s="2">
        <f t="shared" si="4"/>
        <v>28.8</v>
      </c>
      <c r="K19" s="1">
        <v>5</v>
      </c>
      <c r="L19" s="2">
        <v>1.2</v>
      </c>
      <c r="M19" s="2">
        <v>1</v>
      </c>
      <c r="N19" s="2">
        <f t="shared" si="5"/>
        <v>28.799999999999997</v>
      </c>
      <c r="O19" s="20"/>
    </row>
    <row r="21" spans="1:15" s="4" customFormat="1" ht="30" customHeight="1" x14ac:dyDescent="0.25">
      <c r="A21" s="30" t="s">
        <v>42</v>
      </c>
      <c r="B21" s="30" t="s">
        <v>44</v>
      </c>
      <c r="C21" s="30" t="s">
        <v>43</v>
      </c>
      <c r="D21" s="30" t="s">
        <v>45</v>
      </c>
      <c r="F21" s="30" t="s">
        <v>42</v>
      </c>
      <c r="G21" s="30" t="s">
        <v>44</v>
      </c>
      <c r="H21" s="30" t="s">
        <v>43</v>
      </c>
      <c r="I21" s="30" t="s">
        <v>45</v>
      </c>
      <c r="K21" s="30" t="s">
        <v>42</v>
      </c>
      <c r="L21" s="30" t="s">
        <v>44</v>
      </c>
      <c r="M21" s="30" t="s">
        <v>43</v>
      </c>
      <c r="N21" s="30" t="s">
        <v>45</v>
      </c>
      <c r="O21" s="36"/>
    </row>
    <row r="22" spans="1:15" s="4" customFormat="1" ht="30" customHeight="1" x14ac:dyDescent="0.25">
      <c r="A22" s="11">
        <v>12</v>
      </c>
      <c r="B22" s="11">
        <v>75</v>
      </c>
      <c r="C22" s="11">
        <v>12</v>
      </c>
      <c r="D22" s="11">
        <f>($D25*$C25+$D26*$C26+$D27*$C27+$D28*$C28+$D29*$C29+$D30*$C30)*0.75</f>
        <v>253.39500000000001</v>
      </c>
      <c r="F22" s="11">
        <v>12</v>
      </c>
      <c r="G22" s="11">
        <v>78.75</v>
      </c>
      <c r="H22" s="11">
        <v>16</v>
      </c>
      <c r="I22" s="11">
        <f>($H25*$I25+$H26*$I26+$H27*$I27+$H28*$I28+$H29*$I29+$H30*$I30)*0.75</f>
        <v>246.89999999999998</v>
      </c>
      <c r="K22" s="11">
        <v>12</v>
      </c>
      <c r="L22" s="11">
        <v>82.5</v>
      </c>
      <c r="M22" s="11">
        <v>24</v>
      </c>
      <c r="N22" s="11">
        <f>(N25*M25+N26*M26+M27*N27+N28*M28+N29*M29+N30*M30)*0.75</f>
        <v>259.02</v>
      </c>
      <c r="O22" s="23"/>
    </row>
    <row r="23" spans="1:15" ht="30" x14ac:dyDescent="0.25">
      <c r="A23" s="1" t="s">
        <v>0</v>
      </c>
      <c r="B23" s="2" t="s">
        <v>9</v>
      </c>
      <c r="C23" s="2" t="s">
        <v>2</v>
      </c>
      <c r="D23" s="26" t="s">
        <v>41</v>
      </c>
      <c r="F23" s="1" t="s">
        <v>0</v>
      </c>
      <c r="G23" s="2" t="s">
        <v>9</v>
      </c>
      <c r="H23" s="2" t="s">
        <v>2</v>
      </c>
      <c r="I23" s="26" t="s">
        <v>41</v>
      </c>
      <c r="K23" s="1" t="s">
        <v>0</v>
      </c>
      <c r="L23" s="2" t="s">
        <v>9</v>
      </c>
      <c r="M23" s="2" t="s">
        <v>2</v>
      </c>
      <c r="N23" s="26" t="s">
        <v>41</v>
      </c>
      <c r="O23" s="27"/>
    </row>
    <row r="24" spans="1:15" x14ac:dyDescent="0.25">
      <c r="A24" s="1" t="s">
        <v>5</v>
      </c>
      <c r="B24" s="2">
        <v>6</v>
      </c>
      <c r="C24" s="2">
        <v>6</v>
      </c>
      <c r="D24" s="5"/>
      <c r="F24" s="1" t="s">
        <v>5</v>
      </c>
      <c r="G24" s="2">
        <v>6</v>
      </c>
      <c r="H24" s="2">
        <v>6</v>
      </c>
      <c r="I24" s="5"/>
      <c r="K24" s="1" t="s">
        <v>5</v>
      </c>
      <c r="L24" s="2">
        <v>6</v>
      </c>
      <c r="M24" s="2">
        <v>6</v>
      </c>
      <c r="N24" s="5"/>
      <c r="O24" s="21"/>
    </row>
    <row r="25" spans="1:15" x14ac:dyDescent="0.25">
      <c r="A25" s="1">
        <v>1</v>
      </c>
      <c r="B25" s="2">
        <v>2.2000000000000002</v>
      </c>
      <c r="C25" s="2">
        <v>2.65</v>
      </c>
      <c r="D25" s="2">
        <f>B25*$C$22</f>
        <v>26.400000000000002</v>
      </c>
      <c r="F25" s="1">
        <v>1</v>
      </c>
      <c r="G25" s="2">
        <v>1.6</v>
      </c>
      <c r="H25" s="2">
        <v>2.6</v>
      </c>
      <c r="I25" s="2">
        <f>G25*$H$22</f>
        <v>25.6</v>
      </c>
      <c r="K25" s="1">
        <v>1</v>
      </c>
      <c r="L25" s="2">
        <v>1.1000000000000001</v>
      </c>
      <c r="M25" s="2">
        <v>2.7</v>
      </c>
      <c r="N25" s="2">
        <f>L25*$M$22</f>
        <v>26.400000000000002</v>
      </c>
      <c r="O25" s="20"/>
    </row>
    <row r="26" spans="1:15" x14ac:dyDescent="0.25">
      <c r="A26" s="1">
        <v>2</v>
      </c>
      <c r="B26" s="2">
        <v>2.6</v>
      </c>
      <c r="C26" s="2">
        <v>2.15</v>
      </c>
      <c r="D26" s="2">
        <f>B26*$C$22</f>
        <v>31.200000000000003</v>
      </c>
      <c r="F26" s="1">
        <v>2</v>
      </c>
      <c r="G26" s="2">
        <v>1.95</v>
      </c>
      <c r="H26" s="2">
        <v>2.0499999999999998</v>
      </c>
      <c r="I26" s="2">
        <f>G26*$H$22</f>
        <v>31.2</v>
      </c>
      <c r="K26" s="1">
        <v>2</v>
      </c>
      <c r="L26" s="2">
        <v>1.3</v>
      </c>
      <c r="M26" s="2">
        <v>2.2000000000000002</v>
      </c>
      <c r="N26" s="2">
        <f>L26*$M$22</f>
        <v>31.200000000000003</v>
      </c>
      <c r="O26" s="20"/>
    </row>
    <row r="27" spans="1:15" x14ac:dyDescent="0.25">
      <c r="A27" s="1">
        <v>3</v>
      </c>
      <c r="B27" s="2">
        <v>2.8</v>
      </c>
      <c r="C27" s="2">
        <v>1.65</v>
      </c>
      <c r="D27" s="2">
        <f>B27*$C$22</f>
        <v>33.599999999999994</v>
      </c>
      <c r="F27" s="1">
        <v>3</v>
      </c>
      <c r="G27" s="2">
        <v>2.1</v>
      </c>
      <c r="H27" s="2">
        <v>1.65</v>
      </c>
      <c r="I27" s="2">
        <f>G27*$H$22</f>
        <v>33.6</v>
      </c>
      <c r="K27" s="1">
        <v>3</v>
      </c>
      <c r="L27" s="2">
        <v>1.4</v>
      </c>
      <c r="M27" s="2">
        <v>1.65</v>
      </c>
      <c r="N27" s="2">
        <f>L27*$M$22</f>
        <v>33.599999999999994</v>
      </c>
      <c r="O27" s="20"/>
    </row>
    <row r="28" spans="1:15" x14ac:dyDescent="0.25">
      <c r="A28" s="1">
        <v>4</v>
      </c>
      <c r="B28" s="2">
        <v>3</v>
      </c>
      <c r="C28" s="2">
        <v>1.5</v>
      </c>
      <c r="D28" s="2">
        <f>B28*$C$22</f>
        <v>36</v>
      </c>
      <c r="F28" s="1">
        <v>4</v>
      </c>
      <c r="G28" s="2">
        <v>2.25</v>
      </c>
      <c r="H28" s="2">
        <v>1.5</v>
      </c>
      <c r="I28" s="2">
        <f>G28*$H$22</f>
        <v>36</v>
      </c>
      <c r="K28" s="1">
        <v>4</v>
      </c>
      <c r="L28" s="2">
        <v>1.5</v>
      </c>
      <c r="M28" s="2">
        <v>1.5</v>
      </c>
      <c r="N28" s="2">
        <f>L28*$M$22</f>
        <v>36</v>
      </c>
      <c r="O28" s="20"/>
    </row>
    <row r="29" spans="1:15" x14ac:dyDescent="0.25">
      <c r="A29" s="1">
        <v>5</v>
      </c>
      <c r="B29" s="2">
        <v>3.15</v>
      </c>
      <c r="C29" s="2">
        <v>1.3</v>
      </c>
      <c r="D29" s="2">
        <f>B29*$C$22</f>
        <v>37.799999999999997</v>
      </c>
      <c r="F29" s="1">
        <v>5</v>
      </c>
      <c r="G29" s="2">
        <v>2.35</v>
      </c>
      <c r="H29" s="2">
        <v>1.25</v>
      </c>
      <c r="I29" s="2">
        <f>G29*$H$22</f>
        <v>37.6</v>
      </c>
      <c r="K29" s="1">
        <v>5</v>
      </c>
      <c r="L29" s="2">
        <v>1.6</v>
      </c>
      <c r="M29" s="2">
        <v>1.4</v>
      </c>
      <c r="N29" s="2">
        <f>L29*$M$22</f>
        <v>38.400000000000006</v>
      </c>
      <c r="O29" s="20"/>
    </row>
    <row r="30" spans="1:15" x14ac:dyDescent="0.25">
      <c r="A30" s="1">
        <v>6</v>
      </c>
      <c r="B30" s="2">
        <v>3.2</v>
      </c>
      <c r="C30" s="2">
        <v>1.1000000000000001</v>
      </c>
      <c r="D30" s="2">
        <f>B30*$C$22</f>
        <v>38.400000000000006</v>
      </c>
      <c r="F30" s="1">
        <v>6</v>
      </c>
      <c r="G30" s="2">
        <v>2.4</v>
      </c>
      <c r="H30" s="2">
        <v>1.1000000000000001</v>
      </c>
      <c r="I30" s="2">
        <f>G30*$H$22</f>
        <v>38.4</v>
      </c>
      <c r="K30" s="1">
        <v>6</v>
      </c>
      <c r="L30" s="2">
        <v>1.6</v>
      </c>
      <c r="M30" s="2">
        <v>1.1000000000000001</v>
      </c>
      <c r="N30" s="2">
        <f>L30*$M$22</f>
        <v>38.400000000000006</v>
      </c>
      <c r="O30" s="20"/>
    </row>
    <row r="32" spans="1:15" ht="30" customHeight="1" x14ac:dyDescent="0.25">
      <c r="A32" s="29" t="s">
        <v>42</v>
      </c>
      <c r="B32" s="29" t="s">
        <v>44</v>
      </c>
      <c r="C32" s="29" t="s">
        <v>43</v>
      </c>
      <c r="D32" s="29" t="s">
        <v>45</v>
      </c>
      <c r="F32" s="29" t="s">
        <v>42</v>
      </c>
      <c r="G32" s="29" t="s">
        <v>44</v>
      </c>
      <c r="H32" s="29" t="s">
        <v>43</v>
      </c>
      <c r="I32" s="29" t="s">
        <v>45</v>
      </c>
      <c r="K32" s="29" t="s">
        <v>42</v>
      </c>
      <c r="L32" s="29" t="s">
        <v>44</v>
      </c>
      <c r="M32" s="29" t="s">
        <v>43</v>
      </c>
      <c r="N32" s="29" t="s">
        <v>45</v>
      </c>
      <c r="O32" s="37"/>
    </row>
    <row r="33" spans="1:15" ht="30" customHeight="1" x14ac:dyDescent="0.25">
      <c r="A33" s="12">
        <v>15</v>
      </c>
      <c r="B33" s="12">
        <v>75</v>
      </c>
      <c r="C33" s="12">
        <v>12</v>
      </c>
      <c r="D33" s="12">
        <f>($D36*$C36+$D37*$C37+$D38*$C38+$D39*$C39+$D40*$C40+$D41*$C41+$D42*$C42)*0.75</f>
        <v>373.85999999999996</v>
      </c>
      <c r="F33" s="12">
        <v>15</v>
      </c>
      <c r="G33" s="12">
        <v>78.75</v>
      </c>
      <c r="H33" s="12">
        <v>16</v>
      </c>
      <c r="I33" s="12">
        <f>($H36*$I36+$H37*$I37+$H38*$I38+$H39*$I39++$H40*$I40+$H41*$I41+$H42*$I42)*0.75</f>
        <v>364.98</v>
      </c>
      <c r="K33" s="12">
        <v>15</v>
      </c>
      <c r="L33" s="12">
        <v>82.5</v>
      </c>
      <c r="M33" s="12">
        <v>24</v>
      </c>
      <c r="N33" s="12">
        <f>(N36*M36+N37*M37+N38*M38+N39*M39+N40*M40+N41*M41+N42*M42)*0.75</f>
        <v>376.15499999999997</v>
      </c>
      <c r="O33" s="24"/>
    </row>
    <row r="34" spans="1:15" ht="30" x14ac:dyDescent="0.25">
      <c r="A34" s="1" t="s">
        <v>0</v>
      </c>
      <c r="B34" s="2" t="s">
        <v>9</v>
      </c>
      <c r="C34" s="2" t="s">
        <v>2</v>
      </c>
      <c r="D34" s="26" t="s">
        <v>41</v>
      </c>
      <c r="F34" s="1" t="s">
        <v>0</v>
      </c>
      <c r="G34" s="2" t="s">
        <v>9</v>
      </c>
      <c r="H34" s="2" t="s">
        <v>2</v>
      </c>
      <c r="I34" s="26" t="s">
        <v>41</v>
      </c>
      <c r="K34" s="1" t="s">
        <v>0</v>
      </c>
      <c r="L34" s="2" t="s">
        <v>9</v>
      </c>
      <c r="M34" s="2" t="s">
        <v>2</v>
      </c>
      <c r="N34" s="26" t="s">
        <v>41</v>
      </c>
      <c r="O34" s="27"/>
    </row>
    <row r="35" spans="1:15" x14ac:dyDescent="0.25">
      <c r="A35" s="1" t="s">
        <v>5</v>
      </c>
      <c r="B35" s="2">
        <v>7</v>
      </c>
      <c r="C35" s="2">
        <v>7</v>
      </c>
      <c r="D35" s="5"/>
      <c r="F35" s="1" t="s">
        <v>5</v>
      </c>
      <c r="G35" s="2">
        <v>7</v>
      </c>
      <c r="H35" s="2">
        <v>7</v>
      </c>
      <c r="I35" s="5"/>
      <c r="K35" s="1" t="s">
        <v>5</v>
      </c>
      <c r="L35" s="2">
        <v>7</v>
      </c>
      <c r="M35" s="2">
        <v>7</v>
      </c>
      <c r="N35" s="5"/>
      <c r="O35" s="21"/>
    </row>
    <row r="36" spans="1:15" x14ac:dyDescent="0.25">
      <c r="A36" s="1">
        <v>1</v>
      </c>
      <c r="B36" s="2">
        <v>2.5</v>
      </c>
      <c r="C36" s="2">
        <v>2.75</v>
      </c>
      <c r="D36" s="2">
        <f>B36*$C$33</f>
        <v>30</v>
      </c>
      <c r="F36" s="1">
        <v>1</v>
      </c>
      <c r="G36" s="2">
        <v>1.85</v>
      </c>
      <c r="H36" s="2">
        <v>2.7</v>
      </c>
      <c r="I36" s="2">
        <f>G36*$H$33</f>
        <v>29.6</v>
      </c>
      <c r="K36" s="1">
        <v>1</v>
      </c>
      <c r="L36" s="2">
        <v>1.25</v>
      </c>
      <c r="M36" s="2">
        <v>2.75</v>
      </c>
      <c r="N36" s="2">
        <f>L36*$M$33</f>
        <v>30</v>
      </c>
      <c r="O36" s="20"/>
    </row>
    <row r="37" spans="1:15" x14ac:dyDescent="0.25">
      <c r="A37" s="1">
        <v>2</v>
      </c>
      <c r="B37" s="2">
        <v>2.95</v>
      </c>
      <c r="C37" s="2">
        <v>2.2999999999999998</v>
      </c>
      <c r="D37" s="2">
        <f>B37*$C$33</f>
        <v>35.400000000000006</v>
      </c>
      <c r="F37" s="1">
        <v>2</v>
      </c>
      <c r="G37" s="2">
        <v>2.2000000000000002</v>
      </c>
      <c r="H37" s="2">
        <v>2.25</v>
      </c>
      <c r="I37" s="2">
        <f>G37*$H$33</f>
        <v>35.200000000000003</v>
      </c>
      <c r="K37" s="1">
        <v>2</v>
      </c>
      <c r="L37" s="2">
        <v>1.45</v>
      </c>
      <c r="M37" s="2">
        <v>2.2000000000000002</v>
      </c>
      <c r="N37" s="2">
        <f>L37*$M$33</f>
        <v>34.799999999999997</v>
      </c>
      <c r="O37" s="20"/>
    </row>
    <row r="38" spans="1:15" x14ac:dyDescent="0.25">
      <c r="A38" s="1">
        <v>3</v>
      </c>
      <c r="B38" s="2">
        <v>3.3</v>
      </c>
      <c r="C38" s="2">
        <v>1.95</v>
      </c>
      <c r="D38" s="2">
        <f>B38*$C$33</f>
        <v>39.599999999999994</v>
      </c>
      <c r="F38" s="1">
        <v>3</v>
      </c>
      <c r="G38" s="2">
        <v>2.4500000000000002</v>
      </c>
      <c r="H38" s="2">
        <v>1.9</v>
      </c>
      <c r="I38" s="2">
        <f>G38*$H$33</f>
        <v>39.200000000000003</v>
      </c>
      <c r="K38" s="1">
        <v>3</v>
      </c>
      <c r="L38" s="2">
        <v>1.65</v>
      </c>
      <c r="M38" s="2">
        <v>2</v>
      </c>
      <c r="N38" s="2">
        <f>L38*$M$33</f>
        <v>39.599999999999994</v>
      </c>
      <c r="O38" s="20"/>
    </row>
    <row r="39" spans="1:15" x14ac:dyDescent="0.25">
      <c r="A39" s="1">
        <v>4</v>
      </c>
      <c r="B39" s="2">
        <v>2.65</v>
      </c>
      <c r="C39" s="2">
        <v>1.65</v>
      </c>
      <c r="D39" s="2">
        <f>B39*$C$33</f>
        <v>31.799999999999997</v>
      </c>
      <c r="F39" s="1">
        <v>4</v>
      </c>
      <c r="G39" s="2">
        <v>2.65</v>
      </c>
      <c r="H39" s="2">
        <v>1.6</v>
      </c>
      <c r="I39" s="2">
        <f>G39*$H$33</f>
        <v>42.4</v>
      </c>
      <c r="K39" s="1">
        <v>4</v>
      </c>
      <c r="L39" s="2">
        <v>1.75</v>
      </c>
      <c r="M39" s="2">
        <v>1.6</v>
      </c>
      <c r="N39" s="2">
        <f>L39*$M$33</f>
        <v>42</v>
      </c>
      <c r="O39" s="20"/>
    </row>
    <row r="40" spans="1:15" x14ac:dyDescent="0.25">
      <c r="A40" s="1">
        <v>5</v>
      </c>
      <c r="B40" s="2">
        <v>3.8</v>
      </c>
      <c r="C40" s="2">
        <v>1.6</v>
      </c>
      <c r="D40" s="2">
        <f>B40*$C$33</f>
        <v>45.599999999999994</v>
      </c>
      <c r="F40" s="1">
        <v>5</v>
      </c>
      <c r="G40" s="2">
        <v>2.8</v>
      </c>
      <c r="H40" s="2">
        <v>1.45</v>
      </c>
      <c r="I40" s="2">
        <f>G40*$H$33</f>
        <v>44.8</v>
      </c>
      <c r="K40" s="1">
        <v>5</v>
      </c>
      <c r="L40" s="2">
        <v>1.9</v>
      </c>
      <c r="M40" s="2">
        <v>1.6</v>
      </c>
      <c r="N40" s="2">
        <f>L40*$M$33</f>
        <v>45.599999999999994</v>
      </c>
      <c r="O40" s="20"/>
    </row>
    <row r="41" spans="1:15" x14ac:dyDescent="0.25">
      <c r="A41" s="1">
        <v>6</v>
      </c>
      <c r="B41" s="2">
        <v>3.95</v>
      </c>
      <c r="C41" s="2">
        <v>1.45</v>
      </c>
      <c r="D41" s="2">
        <f>B41*$C$33</f>
        <v>47.400000000000006</v>
      </c>
      <c r="F41" s="1">
        <v>6</v>
      </c>
      <c r="G41" s="2">
        <v>2.9</v>
      </c>
      <c r="H41" s="2">
        <v>1.35</v>
      </c>
      <c r="I41" s="2">
        <f>G41*$H$33</f>
        <v>46.4</v>
      </c>
      <c r="K41" s="1">
        <v>6</v>
      </c>
      <c r="L41" s="2">
        <v>1.95</v>
      </c>
      <c r="M41" s="2">
        <v>1.4</v>
      </c>
      <c r="N41" s="2">
        <f>L41*$M$33</f>
        <v>46.8</v>
      </c>
      <c r="O41" s="20"/>
    </row>
    <row r="42" spans="1:15" x14ac:dyDescent="0.25">
      <c r="A42" s="1">
        <v>7</v>
      </c>
      <c r="B42" s="2">
        <v>4.05</v>
      </c>
      <c r="C42" s="2">
        <v>1.3</v>
      </c>
      <c r="D42" s="2">
        <f>B42*$C$33</f>
        <v>48.599999999999994</v>
      </c>
      <c r="F42" s="1">
        <v>7</v>
      </c>
      <c r="G42" s="2">
        <v>3</v>
      </c>
      <c r="H42" s="2">
        <v>1.2</v>
      </c>
      <c r="I42" s="2">
        <f>G42*$H$33</f>
        <v>48</v>
      </c>
      <c r="K42" s="1">
        <v>7</v>
      </c>
      <c r="L42" s="2">
        <v>2</v>
      </c>
      <c r="M42" s="2">
        <v>1.2</v>
      </c>
      <c r="N42" s="2">
        <f>L42*$M$33</f>
        <v>48</v>
      </c>
      <c r="O42" s="20"/>
    </row>
    <row r="43" spans="1:15" x14ac:dyDescent="0.25">
      <c r="A43" t="s">
        <v>46</v>
      </c>
      <c r="B43" s="3">
        <v>6.5</v>
      </c>
      <c r="C43" s="3">
        <v>89.5</v>
      </c>
      <c r="D43" s="3">
        <f>(B43*C43)*0.75</f>
        <v>436.3125</v>
      </c>
    </row>
    <row r="44" spans="1:15" x14ac:dyDescent="0.25">
      <c r="A44" t="s">
        <v>47</v>
      </c>
      <c r="B44" s="3">
        <v>6.5</v>
      </c>
      <c r="C44" s="3">
        <v>72.099999999999994</v>
      </c>
      <c r="D44" s="3">
        <f t="shared" ref="D44:D45" si="6">(B44*C44)*0.75</f>
        <v>351.48749999999995</v>
      </c>
      <c r="I44" s="3">
        <f t="shared" ref="I44:M44" si="7">I33+I22+I12+I3</f>
        <v>832.08</v>
      </c>
      <c r="J44" s="3"/>
      <c r="K44" s="3"/>
      <c r="N44" s="3">
        <f>N33+N22+N12+N3</f>
        <v>855.44999999999993</v>
      </c>
    </row>
    <row r="45" spans="1:15" x14ac:dyDescent="0.25">
      <c r="A45" t="s">
        <v>48</v>
      </c>
      <c r="B45" s="3">
        <v>4.75</v>
      </c>
      <c r="C45" s="3">
        <v>74.8</v>
      </c>
      <c r="D45" s="3">
        <f t="shared" si="6"/>
        <v>266.47500000000002</v>
      </c>
      <c r="F45" s="3">
        <f>D43+D44+D45</f>
        <v>1054.2750000000001</v>
      </c>
    </row>
  </sheetData>
  <pageMargins left="0.7" right="0.7" top="0.75" bottom="0.75" header="0.3" footer="0.3"/>
  <pageSetup scale="74" orientation="portrait" r:id="rId1"/>
  <headerFooter>
    <oddHeader>&amp;CVessel #1
Ring Thickness = .75"&amp;RVessel Wall Thickness = .75"</oddHead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AW6"/>
  <sheetViews>
    <sheetView workbookViewId="0">
      <selection activeCell="B3" sqref="B3"/>
    </sheetView>
  </sheetViews>
  <sheetFormatPr defaultRowHeight="15" x14ac:dyDescent="0.25"/>
  <sheetData>
    <row r="2" spans="1:49" s="38" customFormat="1" x14ac:dyDescent="0.25">
      <c r="A2" s="39" t="s">
        <v>43</v>
      </c>
      <c r="B2" s="38">
        <v>3</v>
      </c>
      <c r="C2" s="38">
        <v>4</v>
      </c>
      <c r="D2" s="38">
        <v>5</v>
      </c>
      <c r="E2" s="38">
        <v>6</v>
      </c>
      <c r="F2" s="38">
        <v>7</v>
      </c>
      <c r="G2" s="38">
        <v>8</v>
      </c>
      <c r="H2" s="38">
        <v>9</v>
      </c>
      <c r="I2" s="38">
        <v>10</v>
      </c>
      <c r="J2" s="38">
        <v>11</v>
      </c>
      <c r="K2" s="38">
        <v>12</v>
      </c>
      <c r="L2" s="38">
        <v>13</v>
      </c>
      <c r="M2" s="38">
        <v>14</v>
      </c>
      <c r="N2" s="38">
        <v>15</v>
      </c>
      <c r="O2" s="38">
        <v>16</v>
      </c>
      <c r="P2" s="38">
        <v>17</v>
      </c>
      <c r="Q2" s="38">
        <v>18</v>
      </c>
      <c r="R2" s="38">
        <v>19</v>
      </c>
      <c r="S2" s="38">
        <v>20</v>
      </c>
      <c r="T2" s="38">
        <v>21</v>
      </c>
      <c r="U2" s="38">
        <v>22</v>
      </c>
      <c r="V2" s="38">
        <v>23</v>
      </c>
      <c r="W2" s="38">
        <v>24</v>
      </c>
      <c r="X2" s="38">
        <v>25</v>
      </c>
      <c r="Y2" s="38">
        <v>26</v>
      </c>
      <c r="Z2" s="38">
        <v>27</v>
      </c>
      <c r="AA2" s="38">
        <v>28</v>
      </c>
      <c r="AB2" s="38">
        <v>29</v>
      </c>
      <c r="AC2" s="38">
        <v>30</v>
      </c>
      <c r="AD2" s="38">
        <v>31</v>
      </c>
      <c r="AE2" s="38">
        <v>32</v>
      </c>
      <c r="AF2" s="38">
        <v>33</v>
      </c>
      <c r="AG2" s="38">
        <v>34</v>
      </c>
      <c r="AH2" s="38">
        <v>35</v>
      </c>
      <c r="AI2" s="38">
        <v>36</v>
      </c>
      <c r="AJ2" s="38">
        <v>37</v>
      </c>
      <c r="AK2" s="38">
        <v>38</v>
      </c>
      <c r="AL2" s="38">
        <v>39</v>
      </c>
      <c r="AM2" s="38">
        <v>40</v>
      </c>
      <c r="AN2" s="38">
        <v>41</v>
      </c>
      <c r="AO2" s="38">
        <v>42</v>
      </c>
      <c r="AP2" s="38">
        <v>43</v>
      </c>
      <c r="AQ2" s="38">
        <v>44</v>
      </c>
      <c r="AR2" s="38">
        <v>45</v>
      </c>
      <c r="AS2" s="38">
        <v>46</v>
      </c>
      <c r="AT2" s="38">
        <v>47</v>
      </c>
      <c r="AU2" s="38">
        <v>48</v>
      </c>
      <c r="AV2" s="38">
        <v>49</v>
      </c>
      <c r="AW2" s="38">
        <v>50</v>
      </c>
    </row>
    <row r="3" spans="1:49" s="38" customFormat="1" x14ac:dyDescent="0.25">
      <c r="A3" s="39" t="s">
        <v>42</v>
      </c>
      <c r="B3" s="40">
        <f>360/B2</f>
        <v>120</v>
      </c>
      <c r="C3" s="40">
        <f t="shared" ref="C3:AW3" si="0">360/C2</f>
        <v>90</v>
      </c>
      <c r="D3" s="40">
        <f t="shared" si="0"/>
        <v>72</v>
      </c>
      <c r="E3" s="40">
        <f t="shared" si="0"/>
        <v>60</v>
      </c>
      <c r="F3" s="40">
        <f t="shared" si="0"/>
        <v>51.428571428571431</v>
      </c>
      <c r="G3" s="40">
        <f t="shared" si="0"/>
        <v>45</v>
      </c>
      <c r="H3" s="40">
        <f t="shared" si="0"/>
        <v>40</v>
      </c>
      <c r="I3" s="40">
        <f t="shared" si="0"/>
        <v>36</v>
      </c>
      <c r="J3" s="40">
        <f t="shared" si="0"/>
        <v>32.727272727272727</v>
      </c>
      <c r="K3" s="40">
        <f t="shared" si="0"/>
        <v>30</v>
      </c>
      <c r="L3" s="40">
        <f t="shared" si="0"/>
        <v>27.692307692307693</v>
      </c>
      <c r="M3" s="40">
        <f t="shared" si="0"/>
        <v>25.714285714285715</v>
      </c>
      <c r="N3" s="40">
        <f t="shared" si="0"/>
        <v>24</v>
      </c>
      <c r="O3" s="40">
        <f t="shared" si="0"/>
        <v>22.5</v>
      </c>
      <c r="P3" s="40">
        <f t="shared" si="0"/>
        <v>21.176470588235293</v>
      </c>
      <c r="Q3" s="40">
        <f t="shared" si="0"/>
        <v>20</v>
      </c>
      <c r="R3" s="40">
        <f t="shared" si="0"/>
        <v>18.94736842105263</v>
      </c>
      <c r="S3" s="40">
        <f t="shared" si="0"/>
        <v>18</v>
      </c>
      <c r="T3" s="40">
        <f t="shared" si="0"/>
        <v>17.142857142857142</v>
      </c>
      <c r="U3" s="40">
        <f t="shared" si="0"/>
        <v>16.363636363636363</v>
      </c>
      <c r="V3" s="40">
        <f t="shared" si="0"/>
        <v>15.652173913043478</v>
      </c>
      <c r="W3" s="40">
        <f t="shared" si="0"/>
        <v>15</v>
      </c>
      <c r="X3" s="40">
        <f t="shared" si="0"/>
        <v>14.4</v>
      </c>
      <c r="Y3" s="40">
        <f t="shared" si="0"/>
        <v>13.846153846153847</v>
      </c>
      <c r="Z3" s="40">
        <f t="shared" si="0"/>
        <v>13.333333333333334</v>
      </c>
      <c r="AA3" s="40">
        <f t="shared" si="0"/>
        <v>12.857142857142858</v>
      </c>
      <c r="AB3" s="40">
        <f t="shared" si="0"/>
        <v>12.413793103448276</v>
      </c>
      <c r="AC3" s="40">
        <f t="shared" si="0"/>
        <v>12</v>
      </c>
      <c r="AD3" s="40">
        <f t="shared" si="0"/>
        <v>11.612903225806452</v>
      </c>
      <c r="AE3" s="40">
        <f t="shared" si="0"/>
        <v>11.25</v>
      </c>
      <c r="AF3" s="40">
        <f t="shared" si="0"/>
        <v>10.909090909090908</v>
      </c>
      <c r="AG3" s="40">
        <f t="shared" si="0"/>
        <v>10.588235294117647</v>
      </c>
      <c r="AH3" s="40">
        <f t="shared" si="0"/>
        <v>10.285714285714286</v>
      </c>
      <c r="AI3" s="40">
        <f t="shared" si="0"/>
        <v>10</v>
      </c>
      <c r="AJ3" s="40">
        <f t="shared" si="0"/>
        <v>9.7297297297297298</v>
      </c>
      <c r="AK3" s="40">
        <f t="shared" si="0"/>
        <v>9.473684210526315</v>
      </c>
      <c r="AL3" s="40">
        <f t="shared" si="0"/>
        <v>9.2307692307692299</v>
      </c>
      <c r="AM3" s="40">
        <f t="shared" si="0"/>
        <v>9</v>
      </c>
      <c r="AN3" s="40">
        <f t="shared" si="0"/>
        <v>8.7804878048780495</v>
      </c>
      <c r="AO3" s="40">
        <f t="shared" si="0"/>
        <v>8.5714285714285712</v>
      </c>
      <c r="AP3" s="40">
        <f t="shared" si="0"/>
        <v>8.3720930232558146</v>
      </c>
      <c r="AQ3" s="40">
        <f t="shared" si="0"/>
        <v>8.1818181818181817</v>
      </c>
      <c r="AR3" s="40">
        <f t="shared" si="0"/>
        <v>8</v>
      </c>
      <c r="AS3" s="40">
        <f t="shared" si="0"/>
        <v>7.8260869565217392</v>
      </c>
      <c r="AT3" s="40">
        <f t="shared" si="0"/>
        <v>7.6595744680851068</v>
      </c>
      <c r="AU3" s="40">
        <f t="shared" si="0"/>
        <v>7.5</v>
      </c>
      <c r="AV3" s="40">
        <f t="shared" si="0"/>
        <v>7.3469387755102042</v>
      </c>
      <c r="AW3" s="40">
        <f t="shared" si="0"/>
        <v>7.2</v>
      </c>
    </row>
    <row r="4" spans="1:49" s="38" customFormat="1" x14ac:dyDescent="0.25"/>
    <row r="5" spans="1:49" s="38" customFormat="1" x14ac:dyDescent="0.25"/>
    <row r="6" spans="1:49" s="38" customFormat="1" x14ac:dyDescent="0.25"/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X51"/>
  <sheetViews>
    <sheetView workbookViewId="0">
      <selection activeCell="U4" sqref="U4"/>
    </sheetView>
  </sheetViews>
  <sheetFormatPr defaultRowHeight="15" x14ac:dyDescent="0.25"/>
  <cols>
    <col min="1" max="1" width="5.7109375" bestFit="1" customWidth="1"/>
    <col min="2" max="2" width="10.140625" style="3" bestFit="1" customWidth="1"/>
    <col min="3" max="3" width="9.7109375" style="3" bestFit="1" customWidth="1"/>
    <col min="4" max="4" width="2.7109375" customWidth="1"/>
    <col min="5" max="5" width="5.7109375" bestFit="1" customWidth="1"/>
    <col min="6" max="6" width="10.140625" style="3" bestFit="1" customWidth="1"/>
    <col min="7" max="7" width="9.7109375" style="3" bestFit="1" customWidth="1"/>
    <col min="8" max="8" width="1.85546875" customWidth="1"/>
    <col min="9" max="9" width="5.7109375" bestFit="1" customWidth="1"/>
    <col min="10" max="10" width="10.140625" style="3" bestFit="1" customWidth="1"/>
    <col min="11" max="11" width="9.7109375" style="3" customWidth="1"/>
    <col min="12" max="12" width="2.28515625" customWidth="1"/>
    <col min="13" max="13" width="5.7109375" bestFit="1" customWidth="1"/>
    <col min="14" max="14" width="11.5703125" style="3" bestFit="1" customWidth="1"/>
    <col min="15" max="15" width="9.7109375" style="3" bestFit="1" customWidth="1"/>
  </cols>
  <sheetData>
    <row r="1" spans="1:24" ht="32.25" customHeight="1" x14ac:dyDescent="0.25">
      <c r="A1" s="13" t="s">
        <v>25</v>
      </c>
      <c r="B1" s="13"/>
      <c r="C1" s="13"/>
      <c r="E1" s="13" t="s">
        <v>26</v>
      </c>
      <c r="F1" s="13"/>
      <c r="G1" s="13"/>
      <c r="I1" s="13" t="s">
        <v>27</v>
      </c>
      <c r="J1" s="13"/>
      <c r="K1" s="13"/>
      <c r="M1" s="13" t="s">
        <v>34</v>
      </c>
      <c r="N1" s="13"/>
      <c r="O1" s="13"/>
      <c r="T1" s="4"/>
      <c r="X1" s="4"/>
    </row>
    <row r="2" spans="1:24" x14ac:dyDescent="0.25">
      <c r="A2" s="1" t="s">
        <v>0</v>
      </c>
      <c r="B2" s="2" t="s">
        <v>2</v>
      </c>
      <c r="C2" s="2" t="s">
        <v>9</v>
      </c>
      <c r="E2" s="1" t="s">
        <v>0</v>
      </c>
      <c r="F2" s="2" t="s">
        <v>2</v>
      </c>
      <c r="G2" s="2" t="s">
        <v>9</v>
      </c>
      <c r="I2" s="1" t="s">
        <v>0</v>
      </c>
      <c r="J2" s="2" t="s">
        <v>2</v>
      </c>
      <c r="K2" s="2" t="s">
        <v>9</v>
      </c>
      <c r="M2" s="1" t="s">
        <v>0</v>
      </c>
      <c r="N2" s="2" t="s">
        <v>2</v>
      </c>
      <c r="O2" s="2" t="s">
        <v>9</v>
      </c>
    </row>
    <row r="3" spans="1:24" x14ac:dyDescent="0.25">
      <c r="A3" s="1" t="s">
        <v>5</v>
      </c>
      <c r="B3" s="2">
        <v>5.5</v>
      </c>
      <c r="C3" s="5"/>
      <c r="E3" s="1" t="s">
        <v>5</v>
      </c>
      <c r="F3" s="2">
        <v>5.5</v>
      </c>
      <c r="G3" s="5"/>
      <c r="I3" s="1" t="s">
        <v>5</v>
      </c>
      <c r="J3" s="2">
        <v>5.5</v>
      </c>
      <c r="K3" s="5"/>
      <c r="M3" s="1" t="s">
        <v>5</v>
      </c>
      <c r="N3" s="2">
        <v>5.5</v>
      </c>
      <c r="O3" s="5"/>
    </row>
    <row r="4" spans="1:24" x14ac:dyDescent="0.25">
      <c r="A4" s="1">
        <v>1</v>
      </c>
      <c r="B4" s="2"/>
      <c r="C4" s="2"/>
      <c r="E4" s="7">
        <v>1</v>
      </c>
      <c r="F4" s="2">
        <v>2</v>
      </c>
      <c r="G4" s="2">
        <v>1.3</v>
      </c>
      <c r="I4" s="1">
        <v>1</v>
      </c>
      <c r="J4" s="2"/>
      <c r="K4" s="2"/>
      <c r="M4" s="1">
        <v>1</v>
      </c>
      <c r="N4" s="2"/>
      <c r="O4" s="2"/>
      <c r="T4">
        <v>8</v>
      </c>
      <c r="U4">
        <f>$S$5/T4</f>
        <v>45</v>
      </c>
    </row>
    <row r="5" spans="1:24" x14ac:dyDescent="0.25">
      <c r="A5" s="1">
        <v>2</v>
      </c>
      <c r="B5" s="2"/>
      <c r="C5" s="2"/>
      <c r="E5" s="1">
        <v>2</v>
      </c>
      <c r="F5" s="2">
        <v>0.9</v>
      </c>
      <c r="G5" s="2">
        <v>1.4</v>
      </c>
      <c r="I5" s="1">
        <v>2</v>
      </c>
      <c r="J5" s="2"/>
      <c r="K5" s="2"/>
      <c r="M5" s="1">
        <v>2</v>
      </c>
      <c r="N5" s="2"/>
      <c r="O5" s="2"/>
      <c r="S5">
        <v>360</v>
      </c>
      <c r="T5">
        <v>12</v>
      </c>
      <c r="U5">
        <f>$S$5/T5</f>
        <v>30</v>
      </c>
    </row>
    <row r="6" spans="1:24" x14ac:dyDescent="0.25">
      <c r="A6" s="1">
        <v>3</v>
      </c>
      <c r="B6" s="2"/>
      <c r="C6" s="2"/>
      <c r="E6" s="7">
        <v>3</v>
      </c>
      <c r="F6" s="2">
        <v>0.9</v>
      </c>
      <c r="G6" s="2">
        <v>1.4</v>
      </c>
      <c r="I6" s="1">
        <v>3</v>
      </c>
      <c r="J6" s="2"/>
      <c r="K6" s="2"/>
      <c r="M6" s="1">
        <v>3</v>
      </c>
      <c r="N6" s="2"/>
      <c r="O6" s="2"/>
      <c r="T6">
        <v>16</v>
      </c>
      <c r="U6">
        <f t="shared" ref="U6:U8" si="0">$S$5/T6</f>
        <v>22.5</v>
      </c>
    </row>
    <row r="7" spans="1:24" x14ac:dyDescent="0.25">
      <c r="A7" s="1">
        <v>4</v>
      </c>
      <c r="B7" s="2"/>
      <c r="C7" s="2"/>
      <c r="E7" s="1">
        <v>4</v>
      </c>
      <c r="F7" s="2">
        <v>1.1499999999999999</v>
      </c>
      <c r="G7" s="2">
        <v>1.35</v>
      </c>
      <c r="I7" s="1">
        <v>4</v>
      </c>
      <c r="J7" s="2"/>
      <c r="K7" s="2"/>
      <c r="M7" s="1">
        <v>4</v>
      </c>
      <c r="N7" s="2"/>
      <c r="O7" s="2"/>
      <c r="T7">
        <v>18</v>
      </c>
      <c r="U7">
        <f t="shared" si="0"/>
        <v>20</v>
      </c>
    </row>
    <row r="8" spans="1:24" x14ac:dyDescent="0.25">
      <c r="A8" s="1">
        <v>5</v>
      </c>
      <c r="B8" s="2"/>
      <c r="C8" s="2"/>
      <c r="E8" s="7">
        <v>5</v>
      </c>
      <c r="F8" s="2">
        <v>0.9</v>
      </c>
      <c r="G8" s="2">
        <v>1.2</v>
      </c>
      <c r="I8" s="1">
        <v>5</v>
      </c>
      <c r="J8" s="2"/>
      <c r="K8" s="2"/>
      <c r="M8" s="1">
        <v>5</v>
      </c>
      <c r="N8" s="2"/>
      <c r="O8" s="2"/>
      <c r="T8">
        <v>20</v>
      </c>
      <c r="U8">
        <f t="shared" si="0"/>
        <v>18</v>
      </c>
    </row>
    <row r="9" spans="1:24" x14ac:dyDescent="0.25">
      <c r="A9" s="1">
        <v>6</v>
      </c>
      <c r="B9" s="2"/>
      <c r="C9" s="2"/>
      <c r="E9" s="1">
        <v>6</v>
      </c>
      <c r="F9" s="2">
        <v>1.1499999999999999</v>
      </c>
      <c r="G9" s="2">
        <v>1.35</v>
      </c>
      <c r="I9" s="1">
        <v>6</v>
      </c>
      <c r="J9" s="2"/>
      <c r="K9" s="2"/>
      <c r="M9" s="1">
        <v>6</v>
      </c>
      <c r="N9" s="2"/>
      <c r="O9" s="2"/>
      <c r="T9">
        <v>24</v>
      </c>
      <c r="U9">
        <f t="shared" ref="U9:U16" si="1">$S$5/T9</f>
        <v>15</v>
      </c>
    </row>
    <row r="10" spans="1:24" x14ac:dyDescent="0.25">
      <c r="N10" s="3" t="s">
        <v>36</v>
      </c>
      <c r="O10" s="3" t="s">
        <v>35</v>
      </c>
      <c r="R10" s="3"/>
      <c r="S10" s="3"/>
      <c r="T10" s="4">
        <v>26</v>
      </c>
      <c r="U10">
        <f t="shared" si="1"/>
        <v>13.846153846153847</v>
      </c>
      <c r="V10" s="3"/>
      <c r="W10" s="3"/>
    </row>
    <row r="11" spans="1:24" s="4" customFormat="1" ht="29.25" customHeight="1" x14ac:dyDescent="0.25">
      <c r="A11" s="14" t="s">
        <v>28</v>
      </c>
      <c r="B11" s="14"/>
      <c r="C11" s="14"/>
      <c r="D11"/>
      <c r="E11" s="14" t="s">
        <v>33</v>
      </c>
      <c r="F11" s="14"/>
      <c r="G11" s="14"/>
      <c r="I11" s="14" t="s">
        <v>29</v>
      </c>
      <c r="J11" s="14"/>
      <c r="K11" s="14"/>
      <c r="M11" s="4">
        <v>5</v>
      </c>
      <c r="N11" s="6">
        <f>360/M11</f>
        <v>72</v>
      </c>
      <c r="O11" s="4">
        <f>N11/2</f>
        <v>36</v>
      </c>
      <c r="T11">
        <v>27</v>
      </c>
      <c r="U11">
        <f t="shared" si="1"/>
        <v>13.333333333333334</v>
      </c>
    </row>
    <row r="12" spans="1:24" x14ac:dyDescent="0.25">
      <c r="A12" s="1" t="s">
        <v>0</v>
      </c>
      <c r="B12" s="2" t="s">
        <v>2</v>
      </c>
      <c r="C12" s="2" t="s">
        <v>9</v>
      </c>
      <c r="E12" s="1" t="s">
        <v>0</v>
      </c>
      <c r="F12" s="2" t="s">
        <v>2</v>
      </c>
      <c r="G12" s="2" t="s">
        <v>9</v>
      </c>
      <c r="I12" s="1" t="s">
        <v>0</v>
      </c>
      <c r="J12" s="2" t="s">
        <v>2</v>
      </c>
      <c r="K12" s="2" t="s">
        <v>9</v>
      </c>
      <c r="M12">
        <v>6</v>
      </c>
      <c r="N12" s="6">
        <f t="shared" ref="N12:N17" si="2">360/M12</f>
        <v>60</v>
      </c>
      <c r="O12" s="4">
        <f t="shared" ref="O12:O17" si="3">N12/2</f>
        <v>30</v>
      </c>
      <c r="T12">
        <v>36</v>
      </c>
      <c r="U12">
        <f t="shared" si="1"/>
        <v>10</v>
      </c>
    </row>
    <row r="13" spans="1:24" x14ac:dyDescent="0.25">
      <c r="A13" s="1" t="s">
        <v>5</v>
      </c>
      <c r="B13" s="2">
        <v>6</v>
      </c>
      <c r="C13" s="5"/>
      <c r="E13" s="1" t="s">
        <v>5</v>
      </c>
      <c r="F13" s="2">
        <v>6</v>
      </c>
      <c r="G13" s="5"/>
      <c r="I13" s="1" t="s">
        <v>5</v>
      </c>
      <c r="J13" s="2">
        <v>6</v>
      </c>
      <c r="K13" s="5"/>
      <c r="M13">
        <v>7</v>
      </c>
      <c r="N13" s="6">
        <f t="shared" si="2"/>
        <v>51.428571428571431</v>
      </c>
      <c r="O13" s="4">
        <f t="shared" si="3"/>
        <v>25.714285714285715</v>
      </c>
      <c r="T13">
        <v>48</v>
      </c>
      <c r="U13">
        <f t="shared" si="1"/>
        <v>7.5</v>
      </c>
    </row>
    <row r="14" spans="1:24" x14ac:dyDescent="0.25">
      <c r="A14" s="1">
        <v>1</v>
      </c>
      <c r="B14" s="2"/>
      <c r="C14" s="2"/>
      <c r="E14" s="1">
        <v>1</v>
      </c>
      <c r="F14" s="2">
        <v>2.7</v>
      </c>
      <c r="G14" s="2">
        <v>1.55</v>
      </c>
      <c r="I14" s="1">
        <v>1</v>
      </c>
      <c r="J14" s="2"/>
      <c r="K14" s="2"/>
      <c r="M14">
        <v>8</v>
      </c>
      <c r="N14" s="6">
        <f t="shared" si="2"/>
        <v>45</v>
      </c>
      <c r="O14" s="4">
        <f t="shared" si="3"/>
        <v>22.5</v>
      </c>
      <c r="P14" t="s">
        <v>37</v>
      </c>
      <c r="T14">
        <v>30</v>
      </c>
      <c r="U14">
        <f t="shared" si="1"/>
        <v>12</v>
      </c>
    </row>
    <row r="15" spans="1:24" x14ac:dyDescent="0.25">
      <c r="A15" s="1">
        <v>2</v>
      </c>
      <c r="B15" s="2"/>
      <c r="C15" s="2"/>
      <c r="E15" s="1">
        <v>2</v>
      </c>
      <c r="F15" s="2">
        <v>1.4</v>
      </c>
      <c r="G15" s="2">
        <v>1.75</v>
      </c>
      <c r="I15" s="1">
        <v>2</v>
      </c>
      <c r="J15" s="2"/>
      <c r="K15" s="2"/>
      <c r="M15">
        <v>9</v>
      </c>
      <c r="N15" s="6">
        <f t="shared" si="2"/>
        <v>40</v>
      </c>
      <c r="O15" s="4">
        <f t="shared" si="3"/>
        <v>20</v>
      </c>
      <c r="P15" t="s">
        <v>37</v>
      </c>
      <c r="T15">
        <v>32</v>
      </c>
      <c r="U15">
        <f t="shared" si="1"/>
        <v>11.25</v>
      </c>
    </row>
    <row r="16" spans="1:24" x14ac:dyDescent="0.25">
      <c r="A16" s="1">
        <v>3</v>
      </c>
      <c r="B16" s="2"/>
      <c r="C16" s="2"/>
      <c r="E16" s="1">
        <v>3</v>
      </c>
      <c r="F16" s="2">
        <v>1</v>
      </c>
      <c r="G16" s="2">
        <v>1.75</v>
      </c>
      <c r="I16" s="1">
        <v>3</v>
      </c>
      <c r="J16" s="2"/>
      <c r="K16" s="2"/>
      <c r="M16">
        <v>10</v>
      </c>
      <c r="N16" s="6">
        <f t="shared" si="2"/>
        <v>36</v>
      </c>
      <c r="O16" s="4">
        <f t="shared" si="3"/>
        <v>18</v>
      </c>
      <c r="P16" t="s">
        <v>37</v>
      </c>
      <c r="T16">
        <v>40</v>
      </c>
      <c r="U16">
        <f t="shared" si="1"/>
        <v>9</v>
      </c>
    </row>
    <row r="17" spans="1:16" x14ac:dyDescent="0.25">
      <c r="A17" s="1">
        <v>4</v>
      </c>
      <c r="B17" s="2"/>
      <c r="C17" s="2"/>
      <c r="E17" s="1">
        <v>4</v>
      </c>
      <c r="F17" s="2">
        <v>1</v>
      </c>
      <c r="G17" s="2">
        <v>1.75</v>
      </c>
      <c r="I17" s="1">
        <v>4</v>
      </c>
      <c r="J17" s="2"/>
      <c r="K17" s="2"/>
      <c r="M17">
        <v>11</v>
      </c>
      <c r="N17" s="3">
        <f t="shared" si="2"/>
        <v>32.727272727272727</v>
      </c>
      <c r="O17" s="8">
        <f t="shared" si="3"/>
        <v>16.363636363636363</v>
      </c>
      <c r="P17" t="s">
        <v>37</v>
      </c>
    </row>
    <row r="18" spans="1:16" x14ac:dyDescent="0.25">
      <c r="A18" s="1">
        <v>5</v>
      </c>
      <c r="B18" s="2"/>
      <c r="C18" s="2"/>
      <c r="E18" s="1">
        <v>5</v>
      </c>
      <c r="F18" s="2">
        <v>1.2</v>
      </c>
      <c r="G18" s="2">
        <v>1.65</v>
      </c>
      <c r="I18" s="1">
        <v>5</v>
      </c>
      <c r="J18" s="2"/>
      <c r="K18" s="2"/>
      <c r="M18">
        <v>12</v>
      </c>
      <c r="N18" s="6">
        <f t="shared" ref="N18:N34" si="4">360/M18</f>
        <v>30</v>
      </c>
      <c r="O18" s="4">
        <f t="shared" ref="O18:O34" si="5">N18/2</f>
        <v>15</v>
      </c>
      <c r="P18" t="s">
        <v>37</v>
      </c>
    </row>
    <row r="19" spans="1:16" x14ac:dyDescent="0.25">
      <c r="A19" s="1">
        <v>6</v>
      </c>
      <c r="B19" s="2"/>
      <c r="C19" s="2"/>
      <c r="E19" s="1">
        <v>6</v>
      </c>
      <c r="F19" s="2">
        <v>1</v>
      </c>
      <c r="G19" s="2">
        <v>1.5</v>
      </c>
      <c r="I19" s="1">
        <v>6</v>
      </c>
      <c r="J19" s="2"/>
      <c r="K19" s="2"/>
      <c r="M19">
        <v>13</v>
      </c>
      <c r="N19" s="3">
        <f t="shared" si="4"/>
        <v>27.692307692307693</v>
      </c>
      <c r="O19" s="8">
        <f t="shared" si="5"/>
        <v>13.846153846153847</v>
      </c>
      <c r="P19" t="s">
        <v>37</v>
      </c>
    </row>
    <row r="20" spans="1:16" x14ac:dyDescent="0.25">
      <c r="A20" s="1">
        <v>7</v>
      </c>
      <c r="B20" s="2"/>
      <c r="C20" s="2"/>
      <c r="E20" s="1">
        <v>7</v>
      </c>
      <c r="F20" s="2">
        <v>1.4</v>
      </c>
      <c r="G20" s="2">
        <v>1.65</v>
      </c>
      <c r="I20" s="1">
        <v>7</v>
      </c>
      <c r="J20" s="2"/>
      <c r="K20" s="2"/>
      <c r="M20">
        <v>15</v>
      </c>
      <c r="N20" s="6">
        <f t="shared" si="4"/>
        <v>24</v>
      </c>
      <c r="O20" s="4">
        <f t="shared" si="5"/>
        <v>12</v>
      </c>
      <c r="P20" t="s">
        <v>37</v>
      </c>
    </row>
    <row r="21" spans="1:16" x14ac:dyDescent="0.25">
      <c r="A21" s="1">
        <v>8</v>
      </c>
      <c r="B21" s="2"/>
      <c r="C21" s="2"/>
      <c r="E21" s="1">
        <v>8</v>
      </c>
      <c r="F21" s="2">
        <v>1</v>
      </c>
      <c r="G21" s="2">
        <v>1.65</v>
      </c>
      <c r="I21" s="1">
        <v>8</v>
      </c>
      <c r="J21" s="2"/>
      <c r="K21" s="2"/>
      <c r="M21">
        <v>16</v>
      </c>
      <c r="N21" s="6">
        <f t="shared" si="4"/>
        <v>22.5</v>
      </c>
      <c r="O21" s="4">
        <f t="shared" si="5"/>
        <v>11.25</v>
      </c>
      <c r="P21" t="s">
        <v>37</v>
      </c>
    </row>
    <row r="22" spans="1:16" x14ac:dyDescent="0.25">
      <c r="M22">
        <v>18</v>
      </c>
      <c r="N22" s="6">
        <f t="shared" si="4"/>
        <v>20</v>
      </c>
      <c r="O22" s="4">
        <f t="shared" si="5"/>
        <v>10</v>
      </c>
      <c r="P22" t="s">
        <v>37</v>
      </c>
    </row>
    <row r="23" spans="1:16" s="4" customFormat="1" ht="30" customHeight="1" x14ac:dyDescent="0.25">
      <c r="A23" s="15" t="s">
        <v>22</v>
      </c>
      <c r="B23" s="15"/>
      <c r="C23" s="15"/>
      <c r="E23" s="15" t="s">
        <v>23</v>
      </c>
      <c r="F23" s="15"/>
      <c r="G23" s="15"/>
      <c r="I23" s="15" t="s">
        <v>24</v>
      </c>
      <c r="J23" s="15"/>
      <c r="K23" s="15"/>
      <c r="M23">
        <v>20</v>
      </c>
      <c r="N23" s="6">
        <f t="shared" si="4"/>
        <v>18</v>
      </c>
      <c r="O23" s="4">
        <f t="shared" si="5"/>
        <v>9</v>
      </c>
      <c r="P23" s="4" t="s">
        <v>37</v>
      </c>
    </row>
    <row r="24" spans="1:16" x14ac:dyDescent="0.25">
      <c r="A24" s="1" t="s">
        <v>0</v>
      </c>
      <c r="B24" s="2" t="s">
        <v>2</v>
      </c>
      <c r="C24" s="2" t="s">
        <v>9</v>
      </c>
      <c r="E24" s="1" t="s">
        <v>0</v>
      </c>
      <c r="F24" s="2" t="s">
        <v>2</v>
      </c>
      <c r="G24" s="2" t="s">
        <v>9</v>
      </c>
      <c r="I24" s="1" t="s">
        <v>0</v>
      </c>
      <c r="J24" s="2" t="s">
        <v>2</v>
      </c>
      <c r="K24" s="2" t="s">
        <v>9</v>
      </c>
      <c r="M24">
        <v>24</v>
      </c>
      <c r="N24" s="6">
        <f t="shared" si="4"/>
        <v>15</v>
      </c>
      <c r="O24" s="4">
        <f t="shared" si="5"/>
        <v>7.5</v>
      </c>
      <c r="P24" t="s">
        <v>37</v>
      </c>
    </row>
    <row r="25" spans="1:16" x14ac:dyDescent="0.25">
      <c r="A25" s="1" t="s">
        <v>5</v>
      </c>
      <c r="B25" s="2">
        <v>6.75</v>
      </c>
      <c r="C25" s="5"/>
      <c r="E25" s="1" t="s">
        <v>5</v>
      </c>
      <c r="F25" s="2">
        <v>6.75</v>
      </c>
      <c r="G25" s="5"/>
      <c r="I25" s="1" t="s">
        <v>5</v>
      </c>
      <c r="J25" s="2">
        <v>6.75</v>
      </c>
      <c r="K25" s="5"/>
      <c r="M25" s="4">
        <v>25</v>
      </c>
      <c r="N25" s="6">
        <f t="shared" si="4"/>
        <v>14.4</v>
      </c>
      <c r="O25" s="4">
        <f t="shared" si="5"/>
        <v>7.2</v>
      </c>
      <c r="P25" t="s">
        <v>37</v>
      </c>
    </row>
    <row r="26" spans="1:16" x14ac:dyDescent="0.25">
      <c r="A26" s="1">
        <v>1</v>
      </c>
      <c r="B26" s="2"/>
      <c r="C26" s="2"/>
      <c r="E26" s="1">
        <v>1</v>
      </c>
      <c r="F26" s="2">
        <v>3.25</v>
      </c>
      <c r="G26" s="2">
        <v>1.8</v>
      </c>
      <c r="I26" s="1">
        <v>1</v>
      </c>
      <c r="J26" s="2"/>
      <c r="K26" s="2"/>
      <c r="M26">
        <v>26</v>
      </c>
      <c r="N26" s="6">
        <f t="shared" si="4"/>
        <v>13.846153846153847</v>
      </c>
      <c r="O26" s="4">
        <f t="shared" si="5"/>
        <v>6.9230769230769234</v>
      </c>
    </row>
    <row r="27" spans="1:16" x14ac:dyDescent="0.25">
      <c r="A27" s="1">
        <v>2</v>
      </c>
      <c r="B27" s="2"/>
      <c r="C27" s="2"/>
      <c r="E27" s="1">
        <v>2</v>
      </c>
      <c r="F27" s="2">
        <v>1.85</v>
      </c>
      <c r="G27" s="2">
        <v>2.0499999999999998</v>
      </c>
      <c r="I27" s="1">
        <v>2</v>
      </c>
      <c r="J27" s="2"/>
      <c r="K27" s="2"/>
      <c r="M27">
        <v>27</v>
      </c>
      <c r="N27" s="6">
        <f t="shared" si="4"/>
        <v>13.333333333333334</v>
      </c>
      <c r="O27" s="4">
        <f t="shared" si="5"/>
        <v>6.666666666666667</v>
      </c>
    </row>
    <row r="28" spans="1:16" x14ac:dyDescent="0.25">
      <c r="A28" s="1">
        <v>3</v>
      </c>
      <c r="B28" s="2"/>
      <c r="C28" s="2"/>
      <c r="E28" s="1">
        <v>3</v>
      </c>
      <c r="F28" s="2">
        <v>1.2</v>
      </c>
      <c r="G28" s="2">
        <v>2.15</v>
      </c>
      <c r="I28" s="1">
        <v>3</v>
      </c>
      <c r="J28" s="2"/>
      <c r="K28" s="2"/>
      <c r="M28">
        <v>30</v>
      </c>
      <c r="N28" s="6">
        <f t="shared" si="4"/>
        <v>12</v>
      </c>
      <c r="O28" s="4">
        <f t="shared" si="5"/>
        <v>6</v>
      </c>
      <c r="P28" t="s">
        <v>37</v>
      </c>
    </row>
    <row r="29" spans="1:16" x14ac:dyDescent="0.25">
      <c r="A29" s="1">
        <v>4</v>
      </c>
      <c r="B29" s="2"/>
      <c r="C29" s="2"/>
      <c r="E29" s="1">
        <v>4</v>
      </c>
      <c r="F29" s="2">
        <v>1</v>
      </c>
      <c r="G29" s="2">
        <v>2.2000000000000002</v>
      </c>
      <c r="I29" s="1">
        <v>4</v>
      </c>
      <c r="J29" s="2"/>
      <c r="K29" s="2"/>
      <c r="M29">
        <v>35</v>
      </c>
      <c r="N29" s="6">
        <f t="shared" si="4"/>
        <v>10.285714285714286</v>
      </c>
      <c r="O29" s="4">
        <f t="shared" si="5"/>
        <v>5.1428571428571432</v>
      </c>
    </row>
    <row r="30" spans="1:16" x14ac:dyDescent="0.25">
      <c r="A30" s="1">
        <v>5</v>
      </c>
      <c r="B30" s="2"/>
      <c r="C30" s="2"/>
      <c r="E30" s="1">
        <v>5</v>
      </c>
      <c r="F30" s="2">
        <v>1</v>
      </c>
      <c r="G30" s="2">
        <v>2.15</v>
      </c>
      <c r="I30" s="1">
        <v>5</v>
      </c>
      <c r="J30" s="2"/>
      <c r="K30" s="2"/>
      <c r="M30">
        <v>36</v>
      </c>
      <c r="N30" s="6">
        <f t="shared" si="4"/>
        <v>10</v>
      </c>
      <c r="O30" s="4">
        <f t="shared" si="5"/>
        <v>5</v>
      </c>
      <c r="P30" t="s">
        <v>37</v>
      </c>
    </row>
    <row r="31" spans="1:16" x14ac:dyDescent="0.25">
      <c r="A31" s="1">
        <v>6</v>
      </c>
      <c r="B31" s="2"/>
      <c r="C31" s="2"/>
      <c r="E31" s="1">
        <v>6</v>
      </c>
      <c r="F31" s="2">
        <v>1.3</v>
      </c>
      <c r="G31" s="2">
        <v>2.1</v>
      </c>
      <c r="I31" s="1">
        <v>6</v>
      </c>
      <c r="J31" s="2"/>
      <c r="K31" s="2"/>
      <c r="M31">
        <v>40</v>
      </c>
      <c r="N31" s="6">
        <f t="shared" si="4"/>
        <v>9</v>
      </c>
      <c r="O31" s="4">
        <f t="shared" si="5"/>
        <v>4.5</v>
      </c>
      <c r="P31" t="s">
        <v>37</v>
      </c>
    </row>
    <row r="32" spans="1:16" x14ac:dyDescent="0.25">
      <c r="A32" s="1">
        <v>7</v>
      </c>
      <c r="B32" s="2"/>
      <c r="C32" s="2"/>
      <c r="E32" s="1">
        <v>7</v>
      </c>
      <c r="F32" s="2">
        <v>1.4</v>
      </c>
      <c r="G32" s="2">
        <v>1.95</v>
      </c>
      <c r="I32" s="1">
        <v>7</v>
      </c>
      <c r="J32" s="2"/>
      <c r="K32" s="2"/>
      <c r="M32">
        <v>45</v>
      </c>
      <c r="N32" s="6">
        <f t="shared" si="4"/>
        <v>8</v>
      </c>
      <c r="O32" s="4">
        <f t="shared" si="5"/>
        <v>4</v>
      </c>
      <c r="P32" t="s">
        <v>37</v>
      </c>
    </row>
    <row r="33" spans="1:15" x14ac:dyDescent="0.25">
      <c r="A33" s="1">
        <v>8</v>
      </c>
      <c r="B33" s="2"/>
      <c r="C33" s="2"/>
      <c r="E33" s="1">
        <v>8</v>
      </c>
      <c r="F33" s="2">
        <v>1</v>
      </c>
      <c r="G33" s="2">
        <v>1.75</v>
      </c>
      <c r="I33" s="1">
        <v>8</v>
      </c>
      <c r="J33" s="2"/>
      <c r="K33" s="2"/>
      <c r="M33">
        <v>48</v>
      </c>
      <c r="N33" s="6">
        <f t="shared" si="4"/>
        <v>7.5</v>
      </c>
      <c r="O33" s="4">
        <f t="shared" si="5"/>
        <v>3.75</v>
      </c>
    </row>
    <row r="34" spans="1:15" x14ac:dyDescent="0.25">
      <c r="A34" s="1">
        <v>9</v>
      </c>
      <c r="B34" s="2"/>
      <c r="C34" s="2"/>
      <c r="E34" s="1">
        <v>9</v>
      </c>
      <c r="F34" s="2">
        <v>1.6</v>
      </c>
      <c r="G34" s="2">
        <v>2.0499999999999998</v>
      </c>
      <c r="I34" s="1">
        <v>9</v>
      </c>
      <c r="J34" s="2"/>
      <c r="K34" s="2"/>
      <c r="M34">
        <v>50</v>
      </c>
      <c r="N34" s="6">
        <f t="shared" si="4"/>
        <v>7.2</v>
      </c>
      <c r="O34" s="4">
        <f t="shared" si="5"/>
        <v>3.6</v>
      </c>
    </row>
    <row r="35" spans="1:15" x14ac:dyDescent="0.25">
      <c r="A35" s="1">
        <v>10</v>
      </c>
      <c r="B35" s="2"/>
      <c r="C35" s="2"/>
      <c r="E35" s="1">
        <v>10</v>
      </c>
      <c r="F35" s="2">
        <v>1.1000000000000001</v>
      </c>
      <c r="G35" s="2">
        <v>2.0499999999999998</v>
      </c>
      <c r="I35" s="1">
        <v>10</v>
      </c>
      <c r="J35" s="2"/>
      <c r="K35" s="2"/>
    </row>
    <row r="37" spans="1:15" ht="30" customHeight="1" x14ac:dyDescent="0.25">
      <c r="A37" s="16" t="s">
        <v>30</v>
      </c>
      <c r="B37" s="16"/>
      <c r="C37" s="16"/>
      <c r="E37" s="16" t="s">
        <v>32</v>
      </c>
      <c r="F37" s="16"/>
      <c r="G37" s="16"/>
      <c r="I37" s="16" t="s">
        <v>31</v>
      </c>
      <c r="J37" s="16"/>
      <c r="K37" s="16"/>
    </row>
    <row r="38" spans="1:15" x14ac:dyDescent="0.25">
      <c r="A38" s="1" t="s">
        <v>0</v>
      </c>
      <c r="B38" s="2" t="s">
        <v>2</v>
      </c>
      <c r="C38" s="2" t="s">
        <v>9</v>
      </c>
      <c r="E38" s="1" t="s">
        <v>0</v>
      </c>
      <c r="F38" s="2" t="s">
        <v>2</v>
      </c>
      <c r="G38" s="2" t="s">
        <v>9</v>
      </c>
      <c r="I38" s="1" t="s">
        <v>0</v>
      </c>
      <c r="J38" s="2" t="s">
        <v>2</v>
      </c>
      <c r="K38" s="2" t="s">
        <v>9</v>
      </c>
    </row>
    <row r="39" spans="1:15" x14ac:dyDescent="0.25">
      <c r="A39" s="1" t="s">
        <v>5</v>
      </c>
      <c r="B39" s="2">
        <v>7.5</v>
      </c>
      <c r="C39" s="5"/>
      <c r="E39" s="1" t="s">
        <v>5</v>
      </c>
      <c r="F39" s="2">
        <v>7.5</v>
      </c>
      <c r="G39" s="5"/>
      <c r="I39" s="1" t="s">
        <v>5</v>
      </c>
      <c r="J39" s="2">
        <v>7.5</v>
      </c>
      <c r="K39" s="5"/>
    </row>
    <row r="40" spans="1:15" x14ac:dyDescent="0.25">
      <c r="A40" s="1">
        <v>1</v>
      </c>
      <c r="B40" s="2"/>
      <c r="C40" s="2"/>
      <c r="E40" s="1">
        <v>1</v>
      </c>
      <c r="F40" s="2">
        <v>4</v>
      </c>
      <c r="G40" s="2">
        <v>2.0499999999999998</v>
      </c>
      <c r="I40" s="1">
        <v>1</v>
      </c>
      <c r="J40" s="2"/>
      <c r="K40" s="2"/>
    </row>
    <row r="41" spans="1:15" x14ac:dyDescent="0.25">
      <c r="A41" s="1">
        <v>2</v>
      </c>
      <c r="B41" s="2"/>
      <c r="C41" s="2"/>
      <c r="E41" s="1">
        <v>2</v>
      </c>
      <c r="F41" s="2">
        <v>2.6</v>
      </c>
      <c r="G41" s="2">
        <v>2.4</v>
      </c>
      <c r="I41" s="1">
        <v>2</v>
      </c>
      <c r="J41" s="2"/>
      <c r="K41" s="2"/>
    </row>
    <row r="42" spans="1:15" x14ac:dyDescent="0.25">
      <c r="A42" s="1">
        <v>3</v>
      </c>
      <c r="B42" s="2"/>
      <c r="C42" s="2"/>
      <c r="E42" s="1">
        <v>3</v>
      </c>
      <c r="F42" s="2">
        <v>1.6</v>
      </c>
      <c r="G42" s="2">
        <v>2.5499999999999998</v>
      </c>
      <c r="I42" s="1">
        <v>3</v>
      </c>
      <c r="J42" s="2"/>
      <c r="K42" s="2"/>
    </row>
    <row r="43" spans="1:15" x14ac:dyDescent="0.25">
      <c r="A43" s="1">
        <v>4</v>
      </c>
      <c r="B43" s="2"/>
      <c r="C43" s="2"/>
      <c r="E43" s="1">
        <v>4</v>
      </c>
      <c r="F43" s="2">
        <v>1.2</v>
      </c>
      <c r="G43" s="2">
        <v>2.65</v>
      </c>
      <c r="I43" s="1">
        <v>4</v>
      </c>
      <c r="J43" s="2"/>
      <c r="K43" s="2"/>
    </row>
    <row r="44" spans="1:15" x14ac:dyDescent="0.25">
      <c r="A44" s="1">
        <v>5</v>
      </c>
      <c r="B44" s="2"/>
      <c r="C44" s="2"/>
      <c r="E44" s="1">
        <v>5</v>
      </c>
      <c r="F44" s="2">
        <v>1.1000000000000001</v>
      </c>
      <c r="G44" s="2">
        <v>2.7</v>
      </c>
      <c r="I44" s="1">
        <v>5</v>
      </c>
      <c r="J44" s="2"/>
      <c r="K44" s="2"/>
    </row>
    <row r="45" spans="1:15" x14ac:dyDescent="0.25">
      <c r="A45" s="1">
        <v>6</v>
      </c>
      <c r="B45" s="2"/>
      <c r="C45" s="2"/>
      <c r="E45" s="1">
        <v>6</v>
      </c>
      <c r="F45" s="2">
        <v>1.1000000000000001</v>
      </c>
      <c r="G45" s="2">
        <v>2.7</v>
      </c>
      <c r="I45" s="1">
        <v>6</v>
      </c>
      <c r="J45" s="2"/>
      <c r="K45" s="2"/>
    </row>
    <row r="46" spans="1:15" x14ac:dyDescent="0.25">
      <c r="A46" s="1">
        <v>7</v>
      </c>
      <c r="B46" s="2"/>
      <c r="C46" s="2"/>
      <c r="E46" s="1">
        <v>7</v>
      </c>
      <c r="F46" s="2">
        <v>1.3</v>
      </c>
      <c r="G46" s="2">
        <v>2.65</v>
      </c>
      <c r="I46" s="1">
        <v>7</v>
      </c>
      <c r="J46" s="2"/>
      <c r="K46" s="2"/>
    </row>
    <row r="47" spans="1:15" x14ac:dyDescent="0.25">
      <c r="A47" s="1">
        <v>8</v>
      </c>
      <c r="B47" s="2"/>
      <c r="C47" s="2"/>
      <c r="E47" s="1">
        <v>8</v>
      </c>
      <c r="F47" s="2">
        <v>1.45</v>
      </c>
      <c r="G47" s="2">
        <v>2.5499999999999998</v>
      </c>
      <c r="I47" s="1">
        <v>8</v>
      </c>
      <c r="J47" s="2"/>
      <c r="K47" s="2"/>
    </row>
    <row r="48" spans="1:15" x14ac:dyDescent="0.25">
      <c r="A48" s="1">
        <v>9</v>
      </c>
      <c r="B48" s="2"/>
      <c r="C48" s="2"/>
      <c r="E48" s="1">
        <v>9</v>
      </c>
      <c r="F48" s="2">
        <v>1.5</v>
      </c>
      <c r="G48" s="2">
        <v>2.4</v>
      </c>
      <c r="I48" s="1">
        <v>9</v>
      </c>
      <c r="J48" s="2"/>
      <c r="K48" s="2"/>
    </row>
    <row r="49" spans="1:11" x14ac:dyDescent="0.25">
      <c r="A49" s="1">
        <v>10</v>
      </c>
      <c r="B49" s="2"/>
      <c r="C49" s="2"/>
      <c r="E49" s="1">
        <v>10</v>
      </c>
      <c r="F49" s="2">
        <v>1.1000000000000001</v>
      </c>
      <c r="G49" s="2">
        <v>2.2000000000000002</v>
      </c>
      <c r="I49" s="1">
        <v>10</v>
      </c>
      <c r="J49" s="2"/>
      <c r="K49" s="2"/>
    </row>
    <row r="50" spans="1:11" x14ac:dyDescent="0.25">
      <c r="A50" s="1">
        <v>11</v>
      </c>
      <c r="B50" s="2"/>
      <c r="C50" s="2"/>
      <c r="E50" s="1">
        <v>11</v>
      </c>
      <c r="F50" s="2">
        <v>1.7</v>
      </c>
      <c r="G50" s="2">
        <v>2.4500000000000002</v>
      </c>
      <c r="I50" s="1">
        <v>11</v>
      </c>
      <c r="J50" s="2"/>
      <c r="K50" s="2"/>
    </row>
    <row r="51" spans="1:11" x14ac:dyDescent="0.25">
      <c r="A51" s="1">
        <v>12</v>
      </c>
      <c r="B51" s="2"/>
      <c r="C51" s="2"/>
      <c r="E51" s="1">
        <v>12</v>
      </c>
      <c r="F51" s="2">
        <v>1.55</v>
      </c>
      <c r="G51" s="2">
        <v>2.5499999999999998</v>
      </c>
      <c r="I51" s="1">
        <v>12</v>
      </c>
      <c r="J51" s="2"/>
      <c r="K51" s="2"/>
    </row>
  </sheetData>
  <mergeCells count="13">
    <mergeCell ref="M1:O1"/>
    <mergeCell ref="A1:C1"/>
    <mergeCell ref="E1:G1"/>
    <mergeCell ref="I1:K1"/>
    <mergeCell ref="A11:C11"/>
    <mergeCell ref="E11:G11"/>
    <mergeCell ref="I11:K11"/>
    <mergeCell ref="A23:C23"/>
    <mergeCell ref="E23:G23"/>
    <mergeCell ref="I23:K23"/>
    <mergeCell ref="A37:C37"/>
    <mergeCell ref="E37:G37"/>
    <mergeCell ref="I37:K37"/>
  </mergeCells>
  <pageMargins left="0.7" right="0.7" top="0.75" bottom="0.75" header="0.3" footer="0.3"/>
  <pageSetup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75"/>
  <sheetViews>
    <sheetView topLeftCell="A7" workbookViewId="0">
      <selection activeCell="B13" sqref="B13"/>
    </sheetView>
  </sheetViews>
  <sheetFormatPr defaultRowHeight="15" x14ac:dyDescent="0.25"/>
  <sheetData>
    <row r="1" spans="1:6" x14ac:dyDescent="0.25">
      <c r="A1">
        <v>1</v>
      </c>
      <c r="B1">
        <f>(360/A1)/2</f>
        <v>180</v>
      </c>
    </row>
    <row r="2" spans="1:6" x14ac:dyDescent="0.25">
      <c r="A2">
        <v>2</v>
      </c>
      <c r="B2">
        <f t="shared" ref="B2:B65" si="0">(360/A2)/2</f>
        <v>90</v>
      </c>
    </row>
    <row r="3" spans="1:6" x14ac:dyDescent="0.25">
      <c r="A3">
        <v>3</v>
      </c>
      <c r="B3">
        <f t="shared" si="0"/>
        <v>60</v>
      </c>
    </row>
    <row r="4" spans="1:6" x14ac:dyDescent="0.25">
      <c r="A4">
        <v>4</v>
      </c>
      <c r="B4">
        <f t="shared" si="0"/>
        <v>45</v>
      </c>
    </row>
    <row r="5" spans="1:6" x14ac:dyDescent="0.25">
      <c r="A5">
        <v>5</v>
      </c>
      <c r="B5">
        <f t="shared" si="0"/>
        <v>36</v>
      </c>
    </row>
    <row r="6" spans="1:6" x14ac:dyDescent="0.25">
      <c r="A6">
        <v>6</v>
      </c>
      <c r="B6">
        <f t="shared" si="0"/>
        <v>30</v>
      </c>
    </row>
    <row r="7" spans="1:6" x14ac:dyDescent="0.25">
      <c r="A7">
        <v>7</v>
      </c>
      <c r="B7">
        <f t="shared" si="0"/>
        <v>25.714285714285715</v>
      </c>
    </row>
    <row r="8" spans="1:6" x14ac:dyDescent="0.25">
      <c r="A8">
        <v>8</v>
      </c>
      <c r="B8">
        <f t="shared" si="0"/>
        <v>22.5</v>
      </c>
      <c r="C8" t="s">
        <v>38</v>
      </c>
      <c r="F8" t="s">
        <v>37</v>
      </c>
    </row>
    <row r="9" spans="1:6" x14ac:dyDescent="0.25">
      <c r="A9">
        <v>9</v>
      </c>
      <c r="B9">
        <f t="shared" si="0"/>
        <v>20</v>
      </c>
      <c r="C9" t="s">
        <v>38</v>
      </c>
      <c r="F9" t="s">
        <v>37</v>
      </c>
    </row>
    <row r="10" spans="1:6" x14ac:dyDescent="0.25">
      <c r="A10">
        <v>10</v>
      </c>
      <c r="B10">
        <f t="shared" si="0"/>
        <v>18</v>
      </c>
      <c r="C10" t="s">
        <v>38</v>
      </c>
      <c r="F10" t="s">
        <v>37</v>
      </c>
    </row>
    <row r="11" spans="1:6" x14ac:dyDescent="0.25">
      <c r="A11">
        <v>11</v>
      </c>
      <c r="B11">
        <f t="shared" si="0"/>
        <v>16.363636363636363</v>
      </c>
      <c r="C11" t="s">
        <v>38</v>
      </c>
      <c r="F11" t="s">
        <v>37</v>
      </c>
    </row>
    <row r="12" spans="1:6" x14ac:dyDescent="0.25">
      <c r="A12">
        <v>12</v>
      </c>
      <c r="B12">
        <f t="shared" si="0"/>
        <v>15</v>
      </c>
      <c r="C12" t="s">
        <v>38</v>
      </c>
      <c r="F12" t="s">
        <v>37</v>
      </c>
    </row>
    <row r="13" spans="1:6" x14ac:dyDescent="0.25">
      <c r="A13">
        <v>13</v>
      </c>
      <c r="B13">
        <f t="shared" si="0"/>
        <v>13.846153846153847</v>
      </c>
      <c r="D13" t="s">
        <v>39</v>
      </c>
      <c r="F13" t="s">
        <v>37</v>
      </c>
    </row>
    <row r="14" spans="1:6" x14ac:dyDescent="0.25">
      <c r="A14">
        <v>14</v>
      </c>
      <c r="B14">
        <f t="shared" si="0"/>
        <v>12.857142857142858</v>
      </c>
      <c r="C14" t="s">
        <v>38</v>
      </c>
      <c r="F14" t="s">
        <v>37</v>
      </c>
    </row>
    <row r="15" spans="1:6" x14ac:dyDescent="0.25">
      <c r="A15">
        <v>15</v>
      </c>
      <c r="B15">
        <f t="shared" si="0"/>
        <v>12</v>
      </c>
      <c r="D15" t="s">
        <v>39</v>
      </c>
      <c r="F15" t="s">
        <v>37</v>
      </c>
    </row>
    <row r="16" spans="1:6" x14ac:dyDescent="0.25">
      <c r="A16">
        <v>16</v>
      </c>
      <c r="B16">
        <f t="shared" si="0"/>
        <v>11.25</v>
      </c>
      <c r="C16" t="s">
        <v>38</v>
      </c>
      <c r="F16" t="s">
        <v>37</v>
      </c>
    </row>
    <row r="17" spans="1:6" x14ac:dyDescent="0.25">
      <c r="A17">
        <v>17</v>
      </c>
      <c r="B17">
        <f t="shared" si="0"/>
        <v>10.588235294117647</v>
      </c>
      <c r="D17" t="s">
        <v>39</v>
      </c>
      <c r="F17" t="s">
        <v>37</v>
      </c>
    </row>
    <row r="18" spans="1:6" x14ac:dyDescent="0.25">
      <c r="A18">
        <v>18</v>
      </c>
      <c r="B18">
        <f t="shared" si="0"/>
        <v>10</v>
      </c>
      <c r="C18" t="s">
        <v>38</v>
      </c>
      <c r="F18" t="s">
        <v>37</v>
      </c>
    </row>
    <row r="19" spans="1:6" x14ac:dyDescent="0.25">
      <c r="A19">
        <v>19</v>
      </c>
      <c r="B19">
        <f t="shared" si="0"/>
        <v>9.473684210526315</v>
      </c>
      <c r="D19" t="s">
        <v>39</v>
      </c>
      <c r="F19" t="s">
        <v>37</v>
      </c>
    </row>
    <row r="20" spans="1:6" x14ac:dyDescent="0.25">
      <c r="A20">
        <v>20</v>
      </c>
      <c r="B20">
        <f t="shared" si="0"/>
        <v>9</v>
      </c>
      <c r="C20" t="s">
        <v>38</v>
      </c>
      <c r="F20" t="s">
        <v>37</v>
      </c>
    </row>
    <row r="21" spans="1:6" x14ac:dyDescent="0.25">
      <c r="A21">
        <v>21</v>
      </c>
      <c r="B21">
        <f t="shared" si="0"/>
        <v>8.5714285714285712</v>
      </c>
      <c r="D21" t="s">
        <v>39</v>
      </c>
      <c r="F21" t="s">
        <v>37</v>
      </c>
    </row>
    <row r="22" spans="1:6" x14ac:dyDescent="0.25">
      <c r="A22">
        <v>22</v>
      </c>
      <c r="B22">
        <f t="shared" si="0"/>
        <v>8.1818181818181817</v>
      </c>
      <c r="E22" t="s">
        <v>40</v>
      </c>
    </row>
    <row r="23" spans="1:6" x14ac:dyDescent="0.25">
      <c r="A23">
        <v>23</v>
      </c>
      <c r="B23">
        <f t="shared" si="0"/>
        <v>7.8260869565217392</v>
      </c>
    </row>
    <row r="24" spans="1:6" x14ac:dyDescent="0.25">
      <c r="A24">
        <v>24</v>
      </c>
      <c r="B24">
        <f t="shared" si="0"/>
        <v>7.5</v>
      </c>
      <c r="C24" t="s">
        <v>38</v>
      </c>
      <c r="F24" t="s">
        <v>37</v>
      </c>
    </row>
    <row r="25" spans="1:6" x14ac:dyDescent="0.25">
      <c r="A25">
        <v>25</v>
      </c>
      <c r="B25">
        <f t="shared" si="0"/>
        <v>7.2</v>
      </c>
      <c r="D25" t="s">
        <v>39</v>
      </c>
      <c r="F25" t="s">
        <v>37</v>
      </c>
    </row>
    <row r="26" spans="1:6" x14ac:dyDescent="0.25">
      <c r="A26">
        <v>26</v>
      </c>
      <c r="B26">
        <f t="shared" si="0"/>
        <v>6.9230769230769234</v>
      </c>
      <c r="E26" t="s">
        <v>40</v>
      </c>
    </row>
    <row r="27" spans="1:6" x14ac:dyDescent="0.25">
      <c r="A27">
        <v>27</v>
      </c>
      <c r="B27">
        <f t="shared" si="0"/>
        <v>6.666666666666667</v>
      </c>
    </row>
    <row r="28" spans="1:6" x14ac:dyDescent="0.25">
      <c r="A28">
        <v>28</v>
      </c>
      <c r="B28">
        <f t="shared" si="0"/>
        <v>6.4285714285714288</v>
      </c>
    </row>
    <row r="29" spans="1:6" x14ac:dyDescent="0.25">
      <c r="A29">
        <v>29</v>
      </c>
      <c r="B29">
        <f t="shared" si="0"/>
        <v>6.2068965517241379</v>
      </c>
      <c r="D29" t="s">
        <v>39</v>
      </c>
      <c r="F29" t="s">
        <v>37</v>
      </c>
    </row>
    <row r="30" spans="1:6" x14ac:dyDescent="0.25">
      <c r="A30">
        <v>30</v>
      </c>
      <c r="B30">
        <f t="shared" si="0"/>
        <v>6</v>
      </c>
      <c r="C30" t="s">
        <v>38</v>
      </c>
      <c r="F30" t="s">
        <v>37</v>
      </c>
    </row>
    <row r="31" spans="1:6" x14ac:dyDescent="0.25">
      <c r="A31">
        <v>31</v>
      </c>
      <c r="B31">
        <f t="shared" si="0"/>
        <v>5.806451612903226</v>
      </c>
      <c r="E31" t="s">
        <v>40</v>
      </c>
    </row>
    <row r="32" spans="1:6" x14ac:dyDescent="0.25">
      <c r="A32">
        <v>32</v>
      </c>
      <c r="B32">
        <f t="shared" si="0"/>
        <v>5.625</v>
      </c>
    </row>
    <row r="33" spans="1:6" x14ac:dyDescent="0.25">
      <c r="A33">
        <v>33</v>
      </c>
      <c r="B33">
        <f t="shared" si="0"/>
        <v>5.4545454545454541</v>
      </c>
    </row>
    <row r="34" spans="1:6" x14ac:dyDescent="0.25">
      <c r="A34">
        <v>34</v>
      </c>
      <c r="B34">
        <f t="shared" si="0"/>
        <v>5.2941176470588234</v>
      </c>
    </row>
    <row r="35" spans="1:6" x14ac:dyDescent="0.25">
      <c r="A35">
        <v>35</v>
      </c>
      <c r="B35">
        <f t="shared" si="0"/>
        <v>5.1428571428571432</v>
      </c>
      <c r="D35" t="s">
        <v>39</v>
      </c>
      <c r="F35" t="s">
        <v>37</v>
      </c>
    </row>
    <row r="36" spans="1:6" x14ac:dyDescent="0.25">
      <c r="A36">
        <v>36</v>
      </c>
      <c r="B36">
        <f t="shared" si="0"/>
        <v>5</v>
      </c>
      <c r="C36" t="s">
        <v>38</v>
      </c>
    </row>
    <row r="37" spans="1:6" x14ac:dyDescent="0.25">
      <c r="A37">
        <v>37</v>
      </c>
      <c r="B37">
        <f t="shared" si="0"/>
        <v>4.8648648648648649</v>
      </c>
    </row>
    <row r="38" spans="1:6" x14ac:dyDescent="0.25">
      <c r="A38">
        <v>38</v>
      </c>
      <c r="B38">
        <f t="shared" si="0"/>
        <v>4.7368421052631575</v>
      </c>
    </row>
    <row r="39" spans="1:6" x14ac:dyDescent="0.25">
      <c r="A39">
        <v>39</v>
      </c>
      <c r="B39">
        <f t="shared" si="0"/>
        <v>4.615384615384615</v>
      </c>
    </row>
    <row r="40" spans="1:6" x14ac:dyDescent="0.25">
      <c r="A40">
        <v>40</v>
      </c>
      <c r="B40">
        <f t="shared" si="0"/>
        <v>4.5</v>
      </c>
    </row>
    <row r="41" spans="1:6" x14ac:dyDescent="0.25">
      <c r="A41">
        <v>41</v>
      </c>
      <c r="B41">
        <f t="shared" si="0"/>
        <v>4.3902439024390247</v>
      </c>
    </row>
    <row r="42" spans="1:6" x14ac:dyDescent="0.25">
      <c r="A42">
        <v>42</v>
      </c>
      <c r="B42">
        <f t="shared" si="0"/>
        <v>4.2857142857142856</v>
      </c>
    </row>
    <row r="43" spans="1:6" x14ac:dyDescent="0.25">
      <c r="A43">
        <v>43</v>
      </c>
      <c r="B43">
        <f t="shared" si="0"/>
        <v>4.1860465116279073</v>
      </c>
      <c r="D43" t="s">
        <v>39</v>
      </c>
    </row>
    <row r="44" spans="1:6" x14ac:dyDescent="0.25">
      <c r="A44">
        <v>44</v>
      </c>
      <c r="B44">
        <f t="shared" si="0"/>
        <v>4.0909090909090908</v>
      </c>
    </row>
    <row r="45" spans="1:6" x14ac:dyDescent="0.25">
      <c r="A45">
        <v>45</v>
      </c>
      <c r="B45">
        <f t="shared" si="0"/>
        <v>4</v>
      </c>
      <c r="C45" t="s">
        <v>38</v>
      </c>
    </row>
    <row r="46" spans="1:6" x14ac:dyDescent="0.25">
      <c r="A46">
        <v>46</v>
      </c>
      <c r="B46">
        <f t="shared" si="0"/>
        <v>3.9130434782608696</v>
      </c>
    </row>
    <row r="47" spans="1:6" x14ac:dyDescent="0.25">
      <c r="A47">
        <v>47</v>
      </c>
      <c r="B47">
        <f t="shared" si="0"/>
        <v>3.8297872340425534</v>
      </c>
    </row>
    <row r="48" spans="1:6" x14ac:dyDescent="0.25">
      <c r="A48">
        <v>48</v>
      </c>
      <c r="B48">
        <f t="shared" si="0"/>
        <v>3.75</v>
      </c>
    </row>
    <row r="49" spans="1:4" x14ac:dyDescent="0.25">
      <c r="A49">
        <v>49</v>
      </c>
      <c r="B49">
        <f t="shared" si="0"/>
        <v>3.6734693877551021</v>
      </c>
    </row>
    <row r="50" spans="1:4" x14ac:dyDescent="0.25">
      <c r="A50">
        <v>50</v>
      </c>
      <c r="B50">
        <f t="shared" si="0"/>
        <v>3.6</v>
      </c>
    </row>
    <row r="51" spans="1:4" x14ac:dyDescent="0.25">
      <c r="A51">
        <v>51</v>
      </c>
      <c r="B51">
        <f t="shared" si="0"/>
        <v>3.5294117647058822</v>
      </c>
    </row>
    <row r="52" spans="1:4" x14ac:dyDescent="0.25">
      <c r="A52">
        <v>52</v>
      </c>
      <c r="B52">
        <f t="shared" si="0"/>
        <v>3.4615384615384617</v>
      </c>
    </row>
    <row r="53" spans="1:4" x14ac:dyDescent="0.25">
      <c r="A53">
        <v>53</v>
      </c>
      <c r="B53">
        <f t="shared" si="0"/>
        <v>3.3962264150943398</v>
      </c>
    </row>
    <row r="54" spans="1:4" x14ac:dyDescent="0.25">
      <c r="A54">
        <v>54</v>
      </c>
      <c r="B54">
        <f t="shared" si="0"/>
        <v>3.3333333333333335</v>
      </c>
    </row>
    <row r="55" spans="1:4" x14ac:dyDescent="0.25">
      <c r="A55">
        <v>55</v>
      </c>
      <c r="B55">
        <f t="shared" si="0"/>
        <v>3.2727272727272729</v>
      </c>
      <c r="D55" t="s">
        <v>39</v>
      </c>
    </row>
    <row r="56" spans="1:4" x14ac:dyDescent="0.25">
      <c r="A56">
        <v>56</v>
      </c>
      <c r="B56">
        <f t="shared" si="0"/>
        <v>3.2142857142857144</v>
      </c>
    </row>
    <row r="57" spans="1:4" x14ac:dyDescent="0.25">
      <c r="A57">
        <v>57</v>
      </c>
      <c r="B57">
        <f t="shared" si="0"/>
        <v>3.1578947368421053</v>
      </c>
    </row>
    <row r="58" spans="1:4" x14ac:dyDescent="0.25">
      <c r="A58">
        <v>58</v>
      </c>
      <c r="B58">
        <f t="shared" si="0"/>
        <v>3.103448275862069</v>
      </c>
    </row>
    <row r="59" spans="1:4" x14ac:dyDescent="0.25">
      <c r="A59">
        <v>59</v>
      </c>
      <c r="B59">
        <f t="shared" si="0"/>
        <v>3.0508474576271185</v>
      </c>
    </row>
    <row r="60" spans="1:4" x14ac:dyDescent="0.25">
      <c r="A60">
        <v>60</v>
      </c>
      <c r="B60">
        <f t="shared" si="0"/>
        <v>3</v>
      </c>
    </row>
    <row r="61" spans="1:4" x14ac:dyDescent="0.25">
      <c r="A61">
        <v>61</v>
      </c>
      <c r="B61">
        <f t="shared" si="0"/>
        <v>2.9508196721311477</v>
      </c>
    </row>
    <row r="62" spans="1:4" x14ac:dyDescent="0.25">
      <c r="A62">
        <v>62</v>
      </c>
      <c r="B62">
        <f t="shared" si="0"/>
        <v>2.903225806451613</v>
      </c>
    </row>
    <row r="63" spans="1:4" x14ac:dyDescent="0.25">
      <c r="A63">
        <v>63</v>
      </c>
      <c r="B63">
        <f t="shared" si="0"/>
        <v>2.8571428571428572</v>
      </c>
    </row>
    <row r="64" spans="1:4" x14ac:dyDescent="0.25">
      <c r="A64">
        <v>64</v>
      </c>
      <c r="B64">
        <f t="shared" si="0"/>
        <v>2.8125</v>
      </c>
    </row>
    <row r="65" spans="1:2" x14ac:dyDescent="0.25">
      <c r="A65">
        <v>65</v>
      </c>
      <c r="B65">
        <f t="shared" si="0"/>
        <v>2.7692307692307692</v>
      </c>
    </row>
    <row r="66" spans="1:2" x14ac:dyDescent="0.25">
      <c r="A66">
        <v>66</v>
      </c>
      <c r="B66">
        <f t="shared" ref="B66:B75" si="1">(360/A66)/2</f>
        <v>2.7272727272727271</v>
      </c>
    </row>
    <row r="67" spans="1:2" x14ac:dyDescent="0.25">
      <c r="A67">
        <v>67</v>
      </c>
      <c r="B67">
        <f t="shared" si="1"/>
        <v>2.6865671641791047</v>
      </c>
    </row>
    <row r="68" spans="1:2" x14ac:dyDescent="0.25">
      <c r="A68">
        <v>68</v>
      </c>
      <c r="B68">
        <f t="shared" si="1"/>
        <v>2.6470588235294117</v>
      </c>
    </row>
    <row r="69" spans="1:2" x14ac:dyDescent="0.25">
      <c r="A69">
        <v>69</v>
      </c>
      <c r="B69">
        <f t="shared" si="1"/>
        <v>2.6086956521739131</v>
      </c>
    </row>
    <row r="70" spans="1:2" x14ac:dyDescent="0.25">
      <c r="A70">
        <v>70</v>
      </c>
      <c r="B70">
        <f t="shared" si="1"/>
        <v>2.5714285714285716</v>
      </c>
    </row>
    <row r="71" spans="1:2" x14ac:dyDescent="0.25">
      <c r="A71">
        <v>71</v>
      </c>
      <c r="B71">
        <f t="shared" si="1"/>
        <v>2.535211267605634</v>
      </c>
    </row>
    <row r="72" spans="1:2" x14ac:dyDescent="0.25">
      <c r="A72">
        <v>72</v>
      </c>
      <c r="B72">
        <f t="shared" si="1"/>
        <v>2.5</v>
      </c>
    </row>
    <row r="73" spans="1:2" x14ac:dyDescent="0.25">
      <c r="A73">
        <v>73</v>
      </c>
      <c r="B73">
        <f t="shared" si="1"/>
        <v>2.4657534246575343</v>
      </c>
    </row>
    <row r="74" spans="1:2" x14ac:dyDescent="0.25">
      <c r="A74">
        <v>74</v>
      </c>
      <c r="B74">
        <f t="shared" si="1"/>
        <v>2.4324324324324325</v>
      </c>
    </row>
    <row r="75" spans="1:2" x14ac:dyDescent="0.25">
      <c r="A75">
        <v>75</v>
      </c>
      <c r="B75">
        <f t="shared" si="1"/>
        <v>2.4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O32"/>
  <sheetViews>
    <sheetView workbookViewId="0">
      <selection activeCell="N8" sqref="N8"/>
    </sheetView>
  </sheetViews>
  <sheetFormatPr defaultRowHeight="15" x14ac:dyDescent="0.25"/>
  <cols>
    <col min="1" max="1" width="5.42578125" customWidth="1"/>
    <col min="2" max="2" width="8.85546875" style="3" customWidth="1"/>
    <col min="3" max="3" width="8.5703125" style="3" customWidth="1"/>
    <col min="4" max="4" width="2.7109375" customWidth="1"/>
    <col min="5" max="5" width="5.7109375" bestFit="1" customWidth="1"/>
    <col min="6" max="6" width="9" style="3" customWidth="1"/>
    <col min="7" max="7" width="9.7109375" style="3" bestFit="1" customWidth="1"/>
    <col min="8" max="8" width="1.85546875" customWidth="1"/>
    <col min="9" max="9" width="5" customWidth="1"/>
    <col min="10" max="10" width="9" style="3" customWidth="1"/>
    <col min="11" max="11" width="8.85546875" style="3" customWidth="1"/>
    <col min="12" max="12" width="2.28515625" customWidth="1"/>
    <col min="13" max="13" width="5.7109375" bestFit="1" customWidth="1"/>
    <col min="14" max="14" width="9.140625" style="3" customWidth="1"/>
    <col min="15" max="15" width="8.85546875" style="3" customWidth="1"/>
  </cols>
  <sheetData>
    <row r="1" spans="1:15" ht="32.25" customHeight="1" x14ac:dyDescent="0.25">
      <c r="A1" s="17" t="s">
        <v>10</v>
      </c>
      <c r="B1" s="17"/>
      <c r="C1" s="17"/>
      <c r="E1" s="17" t="s">
        <v>13</v>
      </c>
      <c r="F1" s="17"/>
      <c r="G1" s="17"/>
      <c r="I1" s="17" t="s">
        <v>16</v>
      </c>
      <c r="J1" s="17"/>
      <c r="K1" s="17"/>
      <c r="M1" s="17" t="s">
        <v>19</v>
      </c>
      <c r="N1" s="17"/>
      <c r="O1" s="17"/>
    </row>
    <row r="2" spans="1:15" x14ac:dyDescent="0.25">
      <c r="A2" s="1" t="s">
        <v>0</v>
      </c>
      <c r="B2" s="2" t="s">
        <v>2</v>
      </c>
      <c r="C2" s="2" t="s">
        <v>9</v>
      </c>
      <c r="E2" s="1" t="s">
        <v>0</v>
      </c>
      <c r="F2" s="2" t="s">
        <v>2</v>
      </c>
      <c r="G2" s="2" t="s">
        <v>9</v>
      </c>
      <c r="I2" s="1" t="s">
        <v>0</v>
      </c>
      <c r="J2" s="2" t="s">
        <v>2</v>
      </c>
      <c r="K2" s="2" t="s">
        <v>9</v>
      </c>
      <c r="M2" s="1" t="s">
        <v>0</v>
      </c>
      <c r="N2" s="2" t="s">
        <v>2</v>
      </c>
      <c r="O2" s="2" t="s">
        <v>9</v>
      </c>
    </row>
    <row r="3" spans="1:15" x14ac:dyDescent="0.25">
      <c r="A3" s="1" t="s">
        <v>5</v>
      </c>
      <c r="B3" s="2">
        <v>4.25</v>
      </c>
      <c r="C3" s="2"/>
      <c r="E3" s="1" t="s">
        <v>5</v>
      </c>
      <c r="F3" s="2">
        <v>5</v>
      </c>
      <c r="G3" s="2"/>
      <c r="I3" s="1" t="s">
        <v>5</v>
      </c>
      <c r="J3" s="2">
        <v>6</v>
      </c>
      <c r="K3" s="2"/>
      <c r="M3" s="1" t="s">
        <v>5</v>
      </c>
      <c r="N3" s="2">
        <v>7</v>
      </c>
      <c r="O3" s="2"/>
    </row>
    <row r="4" spans="1:15" x14ac:dyDescent="0.25">
      <c r="A4" s="1">
        <v>1</v>
      </c>
      <c r="B4" s="2">
        <v>1.4</v>
      </c>
      <c r="C4" s="2">
        <v>1.65</v>
      </c>
      <c r="E4" s="1">
        <v>1</v>
      </c>
      <c r="F4" s="2">
        <v>2.25</v>
      </c>
      <c r="G4" s="2">
        <v>1.85</v>
      </c>
      <c r="I4" s="1">
        <v>1</v>
      </c>
      <c r="J4" s="2"/>
      <c r="K4" s="2"/>
      <c r="M4" s="1">
        <v>1</v>
      </c>
      <c r="N4" s="2"/>
      <c r="O4" s="2"/>
    </row>
    <row r="5" spans="1:15" x14ac:dyDescent="0.25">
      <c r="A5" s="1">
        <v>2</v>
      </c>
      <c r="B5" s="2">
        <v>1.6</v>
      </c>
      <c r="C5" s="2">
        <v>1.35</v>
      </c>
      <c r="E5" s="1">
        <v>2</v>
      </c>
      <c r="F5" s="2">
        <v>1.85</v>
      </c>
      <c r="G5" s="2">
        <v>2.15</v>
      </c>
      <c r="I5" s="1">
        <v>2</v>
      </c>
      <c r="J5" s="2"/>
      <c r="K5" s="2"/>
      <c r="M5" s="1">
        <v>2</v>
      </c>
      <c r="N5" s="2"/>
      <c r="O5" s="2"/>
    </row>
    <row r="6" spans="1:15" x14ac:dyDescent="0.25">
      <c r="A6" s="1">
        <v>3</v>
      </c>
      <c r="B6" s="2">
        <v>1.65</v>
      </c>
      <c r="C6" s="2">
        <v>1.1000000000000001</v>
      </c>
      <c r="E6" s="1">
        <v>3</v>
      </c>
      <c r="F6" s="2">
        <v>1.4</v>
      </c>
      <c r="G6" s="2">
        <v>2.2999999999999998</v>
      </c>
      <c r="I6" s="1">
        <v>3</v>
      </c>
      <c r="J6" s="2"/>
      <c r="K6" s="2"/>
      <c r="M6" s="1">
        <v>3</v>
      </c>
      <c r="N6" s="2"/>
      <c r="O6" s="2"/>
    </row>
    <row r="7" spans="1:15" x14ac:dyDescent="0.25">
      <c r="A7" s="1">
        <v>4</v>
      </c>
      <c r="B7" s="2">
        <v>1.65</v>
      </c>
      <c r="C7" s="2">
        <v>1</v>
      </c>
      <c r="E7" s="1">
        <v>4</v>
      </c>
      <c r="F7" s="2">
        <v>1.1499999999999999</v>
      </c>
      <c r="G7" s="2">
        <v>2.4</v>
      </c>
      <c r="I7" s="1">
        <v>4</v>
      </c>
      <c r="J7" s="2"/>
      <c r="K7" s="2"/>
      <c r="M7" s="1">
        <v>4</v>
      </c>
      <c r="N7" s="2"/>
      <c r="O7" s="2"/>
    </row>
    <row r="8" spans="1:15" x14ac:dyDescent="0.25">
      <c r="A8" s="1">
        <v>5</v>
      </c>
      <c r="B8" s="5"/>
      <c r="C8" s="5"/>
      <c r="E8" s="1">
        <v>5</v>
      </c>
      <c r="F8" s="2">
        <v>1</v>
      </c>
      <c r="G8" s="2">
        <v>2.4</v>
      </c>
      <c r="I8" s="1">
        <v>5</v>
      </c>
      <c r="J8" s="2"/>
      <c r="K8" s="2"/>
      <c r="M8" s="1">
        <v>5</v>
      </c>
      <c r="N8" s="2"/>
      <c r="O8" s="2"/>
    </row>
    <row r="9" spans="1:15" x14ac:dyDescent="0.25">
      <c r="A9" s="1">
        <v>6</v>
      </c>
      <c r="B9" s="5"/>
      <c r="C9" s="5"/>
      <c r="E9" s="1">
        <v>6</v>
      </c>
      <c r="F9" s="5"/>
      <c r="G9" s="5"/>
      <c r="I9" s="1">
        <v>6</v>
      </c>
      <c r="J9" s="2"/>
      <c r="K9" s="2"/>
      <c r="M9" s="1">
        <v>6</v>
      </c>
      <c r="N9" s="2"/>
      <c r="O9" s="2"/>
    </row>
    <row r="10" spans="1:15" x14ac:dyDescent="0.25">
      <c r="A10" s="1">
        <v>7</v>
      </c>
      <c r="B10" s="5"/>
      <c r="C10" s="5"/>
      <c r="E10" s="1">
        <v>7</v>
      </c>
      <c r="F10" s="5"/>
      <c r="G10" s="5"/>
      <c r="I10" s="1">
        <v>7</v>
      </c>
      <c r="J10" s="5"/>
      <c r="K10" s="5"/>
      <c r="M10" s="1">
        <v>7</v>
      </c>
      <c r="N10" s="2"/>
      <c r="O10" s="2"/>
    </row>
    <row r="12" spans="1:15" s="4" customFormat="1" ht="29.25" customHeight="1" x14ac:dyDescent="0.25">
      <c r="A12" s="17" t="s">
        <v>11</v>
      </c>
      <c r="B12" s="17"/>
      <c r="C12" s="17"/>
      <c r="E12" s="17" t="s">
        <v>14</v>
      </c>
      <c r="F12" s="17"/>
      <c r="G12" s="17"/>
      <c r="I12" s="17" t="s">
        <v>17</v>
      </c>
      <c r="J12" s="17"/>
      <c r="K12" s="17"/>
      <c r="M12" s="17" t="s">
        <v>20</v>
      </c>
      <c r="N12" s="17"/>
      <c r="O12" s="17"/>
    </row>
    <row r="13" spans="1:15" x14ac:dyDescent="0.25">
      <c r="A13" s="1" t="s">
        <v>0</v>
      </c>
      <c r="B13" s="2" t="s">
        <v>2</v>
      </c>
      <c r="C13" s="2" t="s">
        <v>9</v>
      </c>
      <c r="E13" s="1" t="s">
        <v>0</v>
      </c>
      <c r="F13" s="2" t="s">
        <v>2</v>
      </c>
      <c r="G13" s="2" t="s">
        <v>9</v>
      </c>
      <c r="I13" s="1" t="s">
        <v>0</v>
      </c>
      <c r="J13" s="2" t="s">
        <v>2</v>
      </c>
      <c r="K13" s="2" t="s">
        <v>9</v>
      </c>
      <c r="M13" s="1" t="s">
        <v>0</v>
      </c>
      <c r="N13" s="2" t="s">
        <v>2</v>
      </c>
      <c r="O13" s="2" t="s">
        <v>9</v>
      </c>
    </row>
    <row r="14" spans="1:15" x14ac:dyDescent="0.25">
      <c r="A14" s="1" t="s">
        <v>5</v>
      </c>
      <c r="B14" s="2">
        <v>4.25</v>
      </c>
      <c r="C14" s="2"/>
      <c r="E14" s="1" t="s">
        <v>5</v>
      </c>
      <c r="F14" s="2">
        <v>5</v>
      </c>
      <c r="G14" s="2"/>
      <c r="I14" s="1" t="s">
        <v>5</v>
      </c>
      <c r="J14" s="2">
        <v>6</v>
      </c>
      <c r="K14" s="2"/>
      <c r="M14" s="1" t="s">
        <v>5</v>
      </c>
      <c r="N14" s="2">
        <v>7</v>
      </c>
      <c r="O14" s="2"/>
    </row>
    <row r="15" spans="1:15" x14ac:dyDescent="0.25">
      <c r="A15" s="1">
        <v>1</v>
      </c>
      <c r="B15" s="2"/>
      <c r="C15" s="2"/>
      <c r="E15" s="1">
        <v>1</v>
      </c>
      <c r="F15" s="2">
        <v>2.25</v>
      </c>
      <c r="G15" s="2">
        <v>1.35</v>
      </c>
      <c r="I15" s="1">
        <v>1</v>
      </c>
      <c r="J15" s="2">
        <v>2.6</v>
      </c>
      <c r="K15" s="2">
        <v>1.6</v>
      </c>
      <c r="M15" s="1">
        <v>1</v>
      </c>
      <c r="N15" s="2">
        <v>2.7</v>
      </c>
      <c r="O15" s="2">
        <v>1.85</v>
      </c>
    </row>
    <row r="16" spans="1:15" x14ac:dyDescent="0.25">
      <c r="A16" s="1">
        <v>2</v>
      </c>
      <c r="B16" s="2"/>
      <c r="C16" s="2"/>
      <c r="E16" s="1">
        <v>2</v>
      </c>
      <c r="F16" s="2">
        <v>1.85</v>
      </c>
      <c r="G16" s="2">
        <v>1.6</v>
      </c>
      <c r="I16" s="1">
        <v>2</v>
      </c>
      <c r="J16" s="2">
        <v>2.0499999999999998</v>
      </c>
      <c r="K16" s="2">
        <v>1.9</v>
      </c>
      <c r="M16" s="1">
        <v>2</v>
      </c>
      <c r="N16" s="2">
        <v>2.25</v>
      </c>
      <c r="O16" s="2">
        <v>2.2000000000000002</v>
      </c>
    </row>
    <row r="17" spans="1:15" x14ac:dyDescent="0.25">
      <c r="A17" s="1">
        <v>3</v>
      </c>
      <c r="B17" s="2"/>
      <c r="C17" s="2"/>
      <c r="E17" s="1">
        <v>3</v>
      </c>
      <c r="F17" s="2">
        <v>1.4</v>
      </c>
      <c r="G17" s="2">
        <v>1.7</v>
      </c>
      <c r="I17" s="1">
        <v>3</v>
      </c>
      <c r="J17" s="2">
        <v>1.65</v>
      </c>
      <c r="K17" s="2">
        <v>2.1</v>
      </c>
      <c r="M17" s="1">
        <v>3</v>
      </c>
      <c r="N17" s="2">
        <v>1.9</v>
      </c>
      <c r="O17" s="2">
        <v>2.4500000000000002</v>
      </c>
    </row>
    <row r="18" spans="1:15" x14ac:dyDescent="0.25">
      <c r="A18" s="1">
        <v>4</v>
      </c>
      <c r="B18" s="2"/>
      <c r="C18" s="2"/>
      <c r="E18" s="1">
        <v>4</v>
      </c>
      <c r="F18" s="2">
        <v>1.1499999999999999</v>
      </c>
      <c r="G18" s="2">
        <v>1.8</v>
      </c>
      <c r="I18" s="1">
        <v>4</v>
      </c>
      <c r="J18" s="2">
        <v>1.5</v>
      </c>
      <c r="K18" s="2">
        <v>2.25</v>
      </c>
      <c r="M18" s="1">
        <v>4</v>
      </c>
      <c r="N18" s="2">
        <v>1.6</v>
      </c>
      <c r="O18" s="2">
        <v>2.65</v>
      </c>
    </row>
    <row r="19" spans="1:15" x14ac:dyDescent="0.25">
      <c r="A19" s="1">
        <v>5</v>
      </c>
      <c r="B19" s="5"/>
      <c r="C19" s="5"/>
      <c r="E19" s="1">
        <v>5</v>
      </c>
      <c r="F19" s="2">
        <v>1</v>
      </c>
      <c r="G19" s="2">
        <v>1.8</v>
      </c>
      <c r="I19" s="1">
        <v>5</v>
      </c>
      <c r="J19" s="2">
        <v>1.25</v>
      </c>
      <c r="K19" s="2">
        <v>2.35</v>
      </c>
      <c r="M19" s="1">
        <v>5</v>
      </c>
      <c r="N19" s="2">
        <v>1.45</v>
      </c>
      <c r="O19" s="2">
        <v>2.8</v>
      </c>
    </row>
    <row r="20" spans="1:15" x14ac:dyDescent="0.25">
      <c r="A20" s="1">
        <v>6</v>
      </c>
      <c r="B20" s="5"/>
      <c r="C20" s="5"/>
      <c r="E20" s="1">
        <v>6</v>
      </c>
      <c r="F20" s="5"/>
      <c r="G20" s="5"/>
      <c r="I20" s="1">
        <v>6</v>
      </c>
      <c r="J20" s="2">
        <v>1.1000000000000001</v>
      </c>
      <c r="K20" s="2">
        <v>2.4</v>
      </c>
      <c r="M20" s="1">
        <v>6</v>
      </c>
      <c r="N20" s="2">
        <v>1.35</v>
      </c>
      <c r="O20" s="2">
        <v>2.9</v>
      </c>
    </row>
    <row r="21" spans="1:15" x14ac:dyDescent="0.25">
      <c r="A21" s="1">
        <v>7</v>
      </c>
      <c r="B21" s="5"/>
      <c r="C21" s="5"/>
      <c r="E21" s="1">
        <v>7</v>
      </c>
      <c r="F21" s="5"/>
      <c r="G21" s="5"/>
      <c r="I21" s="1">
        <v>7</v>
      </c>
      <c r="J21" s="5"/>
      <c r="K21" s="5"/>
      <c r="M21" s="1">
        <v>7</v>
      </c>
      <c r="N21" s="2">
        <v>1.2</v>
      </c>
      <c r="O21" s="2">
        <v>3</v>
      </c>
    </row>
    <row r="23" spans="1:15" s="4" customFormat="1" ht="30" customHeight="1" x14ac:dyDescent="0.25">
      <c r="A23" s="17" t="s">
        <v>12</v>
      </c>
      <c r="B23" s="17"/>
      <c r="C23" s="17"/>
      <c r="E23" s="17" t="s">
        <v>15</v>
      </c>
      <c r="F23" s="17"/>
      <c r="G23" s="17"/>
      <c r="I23" s="17" t="s">
        <v>18</v>
      </c>
      <c r="J23" s="17"/>
      <c r="K23" s="17"/>
      <c r="M23" s="17" t="s">
        <v>21</v>
      </c>
      <c r="N23" s="17"/>
      <c r="O23" s="17"/>
    </row>
    <row r="24" spans="1:15" x14ac:dyDescent="0.25">
      <c r="A24" s="1" t="s">
        <v>0</v>
      </c>
      <c r="B24" s="2" t="s">
        <v>2</v>
      </c>
      <c r="C24" s="2" t="s">
        <v>9</v>
      </c>
      <c r="E24" s="1" t="s">
        <v>0</v>
      </c>
      <c r="F24" s="2" t="s">
        <v>2</v>
      </c>
      <c r="G24" s="2" t="s">
        <v>9</v>
      </c>
      <c r="I24" s="1" t="s">
        <v>0</v>
      </c>
      <c r="J24" s="2" t="s">
        <v>2</v>
      </c>
      <c r="K24" s="2" t="s">
        <v>9</v>
      </c>
      <c r="M24" s="1" t="s">
        <v>0</v>
      </c>
      <c r="N24" s="2" t="s">
        <v>2</v>
      </c>
      <c r="O24" s="2" t="s">
        <v>9</v>
      </c>
    </row>
    <row r="25" spans="1:15" x14ac:dyDescent="0.25">
      <c r="A25" s="1" t="s">
        <v>5</v>
      </c>
      <c r="B25" s="2">
        <v>4.25</v>
      </c>
      <c r="C25" s="2"/>
      <c r="E25" s="1" t="s">
        <v>5</v>
      </c>
      <c r="F25" s="2">
        <v>5</v>
      </c>
      <c r="G25" s="2"/>
      <c r="I25" s="1" t="s">
        <v>5</v>
      </c>
      <c r="J25" s="2">
        <v>6</v>
      </c>
      <c r="K25" s="2"/>
      <c r="M25" s="1" t="s">
        <v>5</v>
      </c>
      <c r="N25" s="2">
        <v>7</v>
      </c>
      <c r="O25" s="2"/>
    </row>
    <row r="26" spans="1:15" x14ac:dyDescent="0.25">
      <c r="A26" s="1">
        <v>1</v>
      </c>
      <c r="B26" s="2"/>
      <c r="C26" s="2"/>
      <c r="E26" s="1">
        <v>1</v>
      </c>
      <c r="F26" s="2">
        <v>2.25</v>
      </c>
      <c r="G26" s="2">
        <v>0.9</v>
      </c>
      <c r="I26" s="1">
        <v>1</v>
      </c>
      <c r="J26" s="2"/>
      <c r="K26" s="2"/>
      <c r="M26" s="1">
        <v>1</v>
      </c>
      <c r="N26" s="2"/>
      <c r="O26" s="2"/>
    </row>
    <row r="27" spans="1:15" x14ac:dyDescent="0.25">
      <c r="A27" s="1">
        <v>2</v>
      </c>
      <c r="B27" s="2"/>
      <c r="C27" s="2"/>
      <c r="E27" s="1">
        <v>2</v>
      </c>
      <c r="F27" s="2">
        <v>1.8</v>
      </c>
      <c r="G27" s="2">
        <v>1.05</v>
      </c>
      <c r="I27" s="1">
        <v>2</v>
      </c>
      <c r="J27" s="2"/>
      <c r="K27" s="2"/>
      <c r="M27" s="1">
        <v>2</v>
      </c>
      <c r="N27" s="2"/>
      <c r="O27" s="2"/>
    </row>
    <row r="28" spans="1:15" x14ac:dyDescent="0.25">
      <c r="A28" s="1">
        <v>3</v>
      </c>
      <c r="B28" s="2"/>
      <c r="C28" s="2"/>
      <c r="E28" s="1">
        <v>3</v>
      </c>
      <c r="F28" s="2">
        <v>1.35</v>
      </c>
      <c r="G28" s="2">
        <v>1.1499999999999999</v>
      </c>
      <c r="I28" s="1">
        <v>3</v>
      </c>
      <c r="J28" s="2"/>
      <c r="K28" s="2"/>
      <c r="M28" s="1">
        <v>3</v>
      </c>
      <c r="N28" s="2"/>
      <c r="O28" s="2"/>
    </row>
    <row r="29" spans="1:15" x14ac:dyDescent="0.25">
      <c r="A29" s="1">
        <v>4</v>
      </c>
      <c r="B29" s="2"/>
      <c r="C29" s="2"/>
      <c r="E29" s="1">
        <v>4</v>
      </c>
      <c r="F29" s="2">
        <v>1.1499999999999999</v>
      </c>
      <c r="G29" s="2">
        <v>1.2</v>
      </c>
      <c r="I29" s="1">
        <v>4</v>
      </c>
      <c r="J29" s="2"/>
      <c r="K29" s="2"/>
      <c r="M29" s="1">
        <v>4</v>
      </c>
      <c r="N29" s="2"/>
      <c r="O29" s="2"/>
    </row>
    <row r="30" spans="1:15" x14ac:dyDescent="0.25">
      <c r="A30" s="1">
        <v>5</v>
      </c>
      <c r="B30" s="5"/>
      <c r="C30" s="5"/>
      <c r="E30" s="1">
        <v>5</v>
      </c>
      <c r="F30" s="2">
        <v>1</v>
      </c>
      <c r="G30" s="2">
        <v>1.2</v>
      </c>
      <c r="I30" s="1">
        <v>5</v>
      </c>
      <c r="J30" s="2"/>
      <c r="K30" s="2"/>
      <c r="M30" s="1">
        <v>5</v>
      </c>
      <c r="N30" s="2"/>
      <c r="O30" s="2"/>
    </row>
    <row r="31" spans="1:15" x14ac:dyDescent="0.25">
      <c r="A31" s="1">
        <v>6</v>
      </c>
      <c r="B31" s="5"/>
      <c r="C31" s="5"/>
      <c r="E31" s="1">
        <v>6</v>
      </c>
      <c r="F31" s="5"/>
      <c r="G31" s="5"/>
      <c r="I31" s="1">
        <v>6</v>
      </c>
      <c r="J31" s="2"/>
      <c r="K31" s="2"/>
      <c r="M31" s="1">
        <v>6</v>
      </c>
      <c r="N31" s="2"/>
      <c r="O31" s="2"/>
    </row>
    <row r="32" spans="1:15" x14ac:dyDescent="0.25">
      <c r="A32" s="1">
        <v>7</v>
      </c>
      <c r="B32" s="5"/>
      <c r="C32" s="5"/>
      <c r="E32" s="1">
        <v>7</v>
      </c>
      <c r="F32" s="5"/>
      <c r="G32" s="5"/>
      <c r="I32" s="1">
        <v>7</v>
      </c>
      <c r="J32" s="5"/>
      <c r="K32" s="5"/>
      <c r="M32" s="1">
        <v>7</v>
      </c>
      <c r="N32" s="2"/>
      <c r="O32" s="2"/>
    </row>
  </sheetData>
  <mergeCells count="12">
    <mergeCell ref="A23:C23"/>
    <mergeCell ref="E23:G23"/>
    <mergeCell ref="I23:K23"/>
    <mergeCell ref="M23:O23"/>
    <mergeCell ref="A1:C1"/>
    <mergeCell ref="E1:G1"/>
    <mergeCell ref="I1:K1"/>
    <mergeCell ref="M1:O1"/>
    <mergeCell ref="A12:C12"/>
    <mergeCell ref="E12:G12"/>
    <mergeCell ref="I12:K12"/>
    <mergeCell ref="M12:O12"/>
  </mergeCell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W13"/>
  <sheetViews>
    <sheetView workbookViewId="0">
      <selection activeCell="E40" sqref="E40"/>
    </sheetView>
  </sheetViews>
  <sheetFormatPr defaultRowHeight="15" x14ac:dyDescent="0.25"/>
  <cols>
    <col min="1" max="2" width="5.7109375" bestFit="1" customWidth="1"/>
    <col min="3" max="3" width="6.140625" bestFit="1" customWidth="1"/>
    <col min="4" max="4" width="10.140625" style="3" bestFit="1" customWidth="1"/>
    <col min="5" max="5" width="14.42578125" style="3" bestFit="1" customWidth="1"/>
    <col min="6" max="6" width="2.7109375" customWidth="1"/>
    <col min="7" max="8" width="5.7109375" bestFit="1" customWidth="1"/>
    <col min="9" max="9" width="6.140625" bestFit="1" customWidth="1"/>
    <col min="10" max="10" width="10.140625" style="3" bestFit="1" customWidth="1"/>
    <col min="11" max="11" width="14.42578125" style="3" customWidth="1"/>
    <col min="12" max="12" width="1.85546875" customWidth="1"/>
    <col min="13" max="14" width="5.7109375" bestFit="1" customWidth="1"/>
    <col min="15" max="15" width="6.140625" bestFit="1" customWidth="1"/>
    <col min="16" max="16" width="10.140625" style="3" bestFit="1" customWidth="1"/>
    <col min="17" max="17" width="14.42578125" style="3" bestFit="1" customWidth="1"/>
    <col min="18" max="18" width="2.28515625" customWidth="1"/>
    <col min="19" max="20" width="5.7109375" bestFit="1" customWidth="1"/>
    <col min="21" max="21" width="6.140625" bestFit="1" customWidth="1"/>
    <col min="22" max="22" width="10.140625" style="3" bestFit="1" customWidth="1"/>
    <col min="23" max="23" width="14.42578125" style="3" bestFit="1" customWidth="1"/>
  </cols>
  <sheetData>
    <row r="1" spans="1:23" x14ac:dyDescent="0.25">
      <c r="A1" s="18" t="s">
        <v>6</v>
      </c>
      <c r="B1" s="18"/>
      <c r="C1" s="18"/>
      <c r="D1" s="18"/>
      <c r="E1" s="18"/>
      <c r="G1" s="18" t="s">
        <v>8</v>
      </c>
      <c r="H1" s="18"/>
      <c r="I1" s="18"/>
      <c r="J1" s="18"/>
      <c r="K1" s="18"/>
      <c r="M1" s="18" t="s">
        <v>8</v>
      </c>
      <c r="N1" s="18"/>
      <c r="O1" s="18"/>
      <c r="P1" s="18"/>
      <c r="Q1" s="18"/>
      <c r="S1" s="18" t="s">
        <v>8</v>
      </c>
      <c r="T1" s="18"/>
      <c r="U1" s="18"/>
      <c r="V1" s="18"/>
      <c r="W1" s="18"/>
    </row>
    <row r="2" spans="1:23" x14ac:dyDescent="0.25">
      <c r="A2" s="1" t="s">
        <v>0</v>
      </c>
      <c r="B2" s="1" t="s">
        <v>4</v>
      </c>
      <c r="C2" s="1" t="s">
        <v>1</v>
      </c>
      <c r="D2" s="2" t="s">
        <v>2</v>
      </c>
      <c r="E2" s="2" t="s">
        <v>3</v>
      </c>
      <c r="G2" s="1" t="s">
        <v>0</v>
      </c>
      <c r="H2" s="1" t="s">
        <v>4</v>
      </c>
      <c r="I2" s="1" t="s">
        <v>1</v>
      </c>
      <c r="J2" s="2" t="s">
        <v>2</v>
      </c>
      <c r="K2" s="2" t="s">
        <v>3</v>
      </c>
      <c r="M2" s="1" t="s">
        <v>0</v>
      </c>
      <c r="N2" s="1" t="s">
        <v>4</v>
      </c>
      <c r="O2" s="1" t="s">
        <v>1</v>
      </c>
      <c r="P2" s="2" t="s">
        <v>2</v>
      </c>
      <c r="Q2" s="2" t="s">
        <v>3</v>
      </c>
      <c r="S2" s="1" t="s">
        <v>0</v>
      </c>
      <c r="T2" s="1" t="s">
        <v>4</v>
      </c>
      <c r="U2" s="1" t="s">
        <v>1</v>
      </c>
      <c r="V2" s="2" t="s">
        <v>2</v>
      </c>
      <c r="W2" s="2" t="s">
        <v>3</v>
      </c>
    </row>
    <row r="3" spans="1:23" x14ac:dyDescent="0.25">
      <c r="A3" s="1" t="s">
        <v>5</v>
      </c>
      <c r="B3" s="1"/>
      <c r="C3" s="1"/>
      <c r="D3" s="2">
        <v>3</v>
      </c>
      <c r="E3" s="2"/>
      <c r="G3" s="1" t="s">
        <v>5</v>
      </c>
      <c r="H3" s="1"/>
      <c r="I3" s="1"/>
      <c r="J3" s="2"/>
      <c r="K3" s="2"/>
      <c r="M3" s="1" t="s">
        <v>5</v>
      </c>
      <c r="N3" s="1"/>
      <c r="O3" s="1"/>
      <c r="P3" s="2">
        <v>6</v>
      </c>
      <c r="Q3" s="2"/>
      <c r="S3" s="1" t="s">
        <v>5</v>
      </c>
      <c r="T3" s="1"/>
      <c r="U3" s="1"/>
      <c r="V3" s="2">
        <v>7</v>
      </c>
      <c r="W3" s="2"/>
    </row>
    <row r="4" spans="1:23" x14ac:dyDescent="0.25">
      <c r="A4" s="1">
        <v>1</v>
      </c>
      <c r="B4" s="1">
        <v>12</v>
      </c>
      <c r="C4" s="1">
        <v>75</v>
      </c>
      <c r="D4" s="2">
        <v>1.3</v>
      </c>
      <c r="E4" s="2">
        <v>1.1499999999999999</v>
      </c>
      <c r="G4" s="1">
        <v>1</v>
      </c>
      <c r="H4" s="1">
        <v>12</v>
      </c>
      <c r="I4" s="1">
        <v>75</v>
      </c>
      <c r="J4" s="2"/>
      <c r="K4" s="2"/>
      <c r="M4" s="1">
        <v>1</v>
      </c>
      <c r="N4" s="1">
        <v>12</v>
      </c>
      <c r="O4" s="1">
        <v>75</v>
      </c>
      <c r="P4" s="2"/>
      <c r="Q4" s="2"/>
      <c r="S4" s="1">
        <v>1</v>
      </c>
      <c r="T4" s="1">
        <v>12</v>
      </c>
      <c r="U4" s="1">
        <v>75</v>
      </c>
      <c r="V4" s="2"/>
      <c r="W4" s="2"/>
    </row>
    <row r="5" spans="1:23" x14ac:dyDescent="0.25">
      <c r="A5" s="1">
        <v>2</v>
      </c>
      <c r="B5" s="1">
        <v>12</v>
      </c>
      <c r="C5" s="1">
        <v>75</v>
      </c>
      <c r="D5" s="2">
        <v>1</v>
      </c>
      <c r="E5" s="2">
        <v>1.35</v>
      </c>
      <c r="G5" s="1">
        <v>2</v>
      </c>
      <c r="H5" s="1">
        <v>12</v>
      </c>
      <c r="I5" s="1">
        <v>75</v>
      </c>
      <c r="J5" s="2"/>
      <c r="K5" s="2"/>
      <c r="M5" s="1">
        <v>2</v>
      </c>
      <c r="N5" s="1">
        <v>12</v>
      </c>
      <c r="O5" s="1">
        <v>75</v>
      </c>
      <c r="P5" s="2"/>
      <c r="Q5" s="2"/>
      <c r="S5" s="1">
        <v>2</v>
      </c>
      <c r="T5" s="1">
        <v>12</v>
      </c>
      <c r="U5" s="1">
        <v>75</v>
      </c>
      <c r="V5" s="2"/>
      <c r="W5" s="2"/>
    </row>
    <row r="6" spans="1:23" x14ac:dyDescent="0.25">
      <c r="A6" s="1">
        <v>3</v>
      </c>
      <c r="B6" s="1">
        <v>12</v>
      </c>
      <c r="C6" s="1">
        <v>75</v>
      </c>
      <c r="D6" s="2">
        <v>0.7</v>
      </c>
      <c r="E6" s="2">
        <v>1.45</v>
      </c>
      <c r="G6" s="1">
        <v>3</v>
      </c>
      <c r="H6" s="1">
        <v>12</v>
      </c>
      <c r="I6" s="1">
        <v>75</v>
      </c>
      <c r="J6" s="2"/>
      <c r="K6" s="2"/>
      <c r="M6" s="1">
        <v>3</v>
      </c>
      <c r="N6" s="1">
        <v>12</v>
      </c>
      <c r="O6" s="1">
        <v>75</v>
      </c>
      <c r="P6" s="2"/>
      <c r="Q6" s="2"/>
      <c r="S6" s="1">
        <v>3</v>
      </c>
      <c r="T6" s="1">
        <v>12</v>
      </c>
      <c r="U6" s="1">
        <v>75</v>
      </c>
      <c r="V6" s="2"/>
      <c r="W6" s="2"/>
    </row>
    <row r="7" spans="1:23" x14ac:dyDescent="0.25">
      <c r="A7" s="1">
        <v>4</v>
      </c>
      <c r="B7" s="1">
        <v>12</v>
      </c>
      <c r="C7" s="1">
        <v>75</v>
      </c>
      <c r="D7" s="2">
        <v>0.9</v>
      </c>
      <c r="E7" s="2">
        <v>1.4</v>
      </c>
      <c r="G7" s="1">
        <v>4</v>
      </c>
      <c r="H7" s="1">
        <v>12</v>
      </c>
      <c r="I7" s="1">
        <v>75</v>
      </c>
      <c r="J7" s="2"/>
      <c r="K7" s="2"/>
      <c r="M7" s="1">
        <v>4</v>
      </c>
      <c r="N7" s="1">
        <v>12</v>
      </c>
      <c r="O7" s="1">
        <v>75</v>
      </c>
      <c r="P7" s="2"/>
      <c r="Q7" s="2"/>
      <c r="S7" s="1">
        <v>4</v>
      </c>
      <c r="T7" s="1">
        <v>12</v>
      </c>
      <c r="U7" s="1">
        <v>75</v>
      </c>
      <c r="V7" s="2"/>
      <c r="W7" s="2"/>
    </row>
    <row r="8" spans="1:23" x14ac:dyDescent="0.25">
      <c r="A8" s="1">
        <v>5</v>
      </c>
      <c r="B8" s="1">
        <v>12</v>
      </c>
      <c r="C8" s="1">
        <v>75</v>
      </c>
      <c r="D8" s="2">
        <v>0.8</v>
      </c>
      <c r="E8" s="2">
        <v>1.3</v>
      </c>
      <c r="G8" s="1">
        <v>5</v>
      </c>
      <c r="H8" s="1">
        <v>12</v>
      </c>
      <c r="I8" s="1">
        <v>75</v>
      </c>
      <c r="J8" s="2"/>
      <c r="K8" s="2"/>
      <c r="M8" s="1">
        <v>5</v>
      </c>
      <c r="N8" s="1">
        <v>12</v>
      </c>
      <c r="O8" s="1">
        <v>75</v>
      </c>
      <c r="P8" s="2"/>
      <c r="Q8" s="2"/>
      <c r="S8" s="1">
        <v>5</v>
      </c>
      <c r="T8" s="1">
        <v>12</v>
      </c>
      <c r="U8" s="1">
        <v>75</v>
      </c>
      <c r="V8" s="2"/>
      <c r="W8" s="2"/>
    </row>
    <row r="9" spans="1:23" x14ac:dyDescent="0.25">
      <c r="A9" s="1">
        <v>6</v>
      </c>
      <c r="B9" s="1">
        <v>12</v>
      </c>
      <c r="C9" s="1">
        <v>75</v>
      </c>
      <c r="D9" s="2">
        <v>0.8</v>
      </c>
      <c r="E9" s="2">
        <v>1.3</v>
      </c>
      <c r="G9" s="1">
        <v>6</v>
      </c>
      <c r="H9" s="1">
        <v>12</v>
      </c>
      <c r="I9" s="1">
        <v>75</v>
      </c>
      <c r="J9" s="2"/>
      <c r="K9" s="2"/>
      <c r="M9" s="1">
        <v>6</v>
      </c>
      <c r="N9" s="1">
        <v>12</v>
      </c>
      <c r="O9" s="1">
        <v>75</v>
      </c>
      <c r="P9" s="2"/>
      <c r="Q9" s="2"/>
      <c r="S9" s="1">
        <v>6</v>
      </c>
      <c r="T9" s="1">
        <v>12</v>
      </c>
      <c r="U9" s="1">
        <v>75</v>
      </c>
      <c r="V9" s="2"/>
      <c r="W9" s="2"/>
    </row>
    <row r="10" spans="1:23" x14ac:dyDescent="0.25">
      <c r="A10" s="1" t="s">
        <v>7</v>
      </c>
      <c r="B10" s="1"/>
      <c r="C10" s="1"/>
      <c r="D10" s="2">
        <v>4.5</v>
      </c>
      <c r="E10" s="2"/>
      <c r="G10" s="1">
        <v>7</v>
      </c>
      <c r="H10" s="1">
        <v>12</v>
      </c>
      <c r="I10" s="1">
        <v>75</v>
      </c>
      <c r="J10" s="2"/>
      <c r="K10" s="2"/>
      <c r="M10" s="1">
        <v>7</v>
      </c>
      <c r="N10" s="1">
        <v>12</v>
      </c>
      <c r="O10" s="1">
        <v>75</v>
      </c>
      <c r="P10" s="2"/>
      <c r="Q10" s="2"/>
      <c r="S10" s="1">
        <v>7</v>
      </c>
      <c r="T10" s="1">
        <v>12</v>
      </c>
      <c r="U10" s="1">
        <v>75</v>
      </c>
      <c r="V10" s="2"/>
      <c r="W10" s="2"/>
    </row>
    <row r="11" spans="1:23" x14ac:dyDescent="0.25">
      <c r="A11" s="1">
        <v>8</v>
      </c>
      <c r="B11" s="1">
        <v>12</v>
      </c>
      <c r="C11" s="1">
        <v>75</v>
      </c>
      <c r="D11" s="2"/>
      <c r="E11" s="2"/>
      <c r="G11" s="1">
        <v>8</v>
      </c>
      <c r="H11" s="1">
        <v>12</v>
      </c>
      <c r="I11" s="1">
        <v>75</v>
      </c>
      <c r="J11" s="2"/>
      <c r="K11" s="2"/>
      <c r="M11" s="1">
        <v>8</v>
      </c>
      <c r="N11" s="1">
        <v>12</v>
      </c>
      <c r="O11" s="1">
        <v>75</v>
      </c>
      <c r="P11" s="2"/>
      <c r="Q11" s="2"/>
      <c r="S11" s="1">
        <v>8</v>
      </c>
      <c r="T11" s="1">
        <v>12</v>
      </c>
      <c r="U11" s="1">
        <v>75</v>
      </c>
      <c r="V11" s="2"/>
      <c r="W11" s="2"/>
    </row>
    <row r="12" spans="1:23" x14ac:dyDescent="0.25">
      <c r="A12" s="1">
        <v>9</v>
      </c>
      <c r="B12" s="1">
        <v>12</v>
      </c>
      <c r="C12" s="1">
        <v>75</v>
      </c>
      <c r="D12" s="2"/>
      <c r="E12" s="2"/>
      <c r="G12" s="1">
        <v>9</v>
      </c>
      <c r="H12" s="1">
        <v>12</v>
      </c>
      <c r="I12" s="1">
        <v>75</v>
      </c>
      <c r="J12" s="2"/>
      <c r="K12" s="2"/>
      <c r="M12" s="1">
        <v>9</v>
      </c>
      <c r="N12" s="1">
        <v>12</v>
      </c>
      <c r="O12" s="1">
        <v>75</v>
      </c>
      <c r="P12" s="2"/>
      <c r="Q12" s="2"/>
      <c r="S12" s="1">
        <v>9</v>
      </c>
      <c r="T12" s="1">
        <v>12</v>
      </c>
      <c r="U12" s="1">
        <v>75</v>
      </c>
      <c r="V12" s="2"/>
      <c r="W12" s="2"/>
    </row>
    <row r="13" spans="1:23" x14ac:dyDescent="0.25">
      <c r="A13" s="1">
        <v>10</v>
      </c>
      <c r="B13" s="1">
        <v>12</v>
      </c>
      <c r="C13" s="1">
        <v>75</v>
      </c>
      <c r="D13" s="2"/>
      <c r="E13" s="2"/>
      <c r="G13" s="1">
        <v>10</v>
      </c>
      <c r="H13" s="1">
        <v>12</v>
      </c>
      <c r="I13" s="1">
        <v>75</v>
      </c>
      <c r="J13" s="2"/>
      <c r="K13" s="2"/>
      <c r="M13" s="1">
        <v>10</v>
      </c>
      <c r="N13" s="1">
        <v>12</v>
      </c>
      <c r="O13" s="1">
        <v>75</v>
      </c>
      <c r="P13" s="2"/>
      <c r="Q13" s="2"/>
      <c r="S13" s="1">
        <v>10</v>
      </c>
      <c r="T13" s="1">
        <v>12</v>
      </c>
      <c r="U13" s="1">
        <v>75</v>
      </c>
      <c r="V13" s="2"/>
      <c r="W13" s="2"/>
    </row>
  </sheetData>
  <mergeCells count="4">
    <mergeCell ref="A1:E1"/>
    <mergeCell ref="G1:K1"/>
    <mergeCell ref="M1:Q1"/>
    <mergeCell ref="S1:W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Vessel #1</vt:lpstr>
      <vt:lpstr>Sheet2</vt:lpstr>
      <vt:lpstr>Vessel #4</vt:lpstr>
      <vt:lpstr>Sheet1</vt:lpstr>
      <vt:lpstr>Sheet5</vt:lpstr>
      <vt:lpstr>Joe's Designs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Tony</dc:creator>
  <cp:lastModifiedBy>Tony</cp:lastModifiedBy>
  <dcterms:created xsi:type="dcterms:W3CDTF">2015-12-25T14:36:34Z</dcterms:created>
  <dcterms:modified xsi:type="dcterms:W3CDTF">2016-02-28T01:05:24Z</dcterms:modified>
</cp:coreProperties>
</file>