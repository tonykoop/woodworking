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comments1.xml" ContentType="application/vnd.openxmlformats-officedocument.spreadsheetml.comments+xml"/>
  <Override PartName="/xl/drawings/drawing2.xml" ContentType="application/vnd.openxmlformats-officedocument.drawing+xml"/>
  <Override PartName="/xl/embeddings/oleObject2.bin" ContentType="application/vnd.openxmlformats-officedocument.oleObject"/>
  <Override PartName="/xl/embeddings/oleObject3.bin" ContentType="application/vnd.openxmlformats-officedocument.oleObject"/>
  <Override PartName="/xl/drawings/drawing3.xml" ContentType="application/vnd.openxmlformats-officedocument.drawing+xml"/>
  <Override PartName="/xl/embeddings/oleObject4.bin" ContentType="application/vnd.openxmlformats-officedocument.oleObject"/>
  <Override PartName="/xl/embeddings/oleObject5.bin" ContentType="application/vnd.openxmlformats-officedocument.oleObject"/>
  <Override PartName="/xl/comments2.xml" ContentType="application/vnd.openxmlformats-officedocument.spreadsheetml.comments+xml"/>
  <Override PartName="/xl/drawings/drawing4.xml" ContentType="application/vnd.openxmlformats-officedocument.drawing+xml"/>
  <Override PartName="/xl/embeddings/oleObject6.bin" ContentType="application/vnd.openxmlformats-officedocument.oleObject"/>
  <Override PartName="/xl/drawings/drawing5.xml" ContentType="application/vnd.openxmlformats-officedocument.drawing+xml"/>
  <Override PartName="/xl/embeddings/oleObject7.bin" ContentType="application/vnd.openxmlformats-officedocument.oleObject"/>
  <Override PartName="/xl/embeddings/oleObject8.bin" ContentType="application/vnd.openxmlformats-officedocument.oleObject"/>
  <Override PartName="/xl/comments3.xml" ContentType="application/vnd.openxmlformats-officedocument.spreadsheetml.comments+xml"/>
  <Override PartName="/xl/drawings/drawing6.xml" ContentType="application/vnd.openxmlformats-officedocument.drawing+xml"/>
  <Override PartName="/xl/embeddings/oleObject9.bin" ContentType="application/vnd.openxmlformats-officedocument.oleObject"/>
  <Override PartName="/xl/embeddings/oleObject10.bin" ContentType="application/vnd.openxmlformats-officedocument.oleObject"/>
  <Override PartName="/xl/comments4.xml" ContentType="application/vnd.openxmlformats-officedocument.spreadsheetml.comments+xml"/>
  <Override PartName="/xl/drawings/drawing7.xml" ContentType="application/vnd.openxmlformats-officedocument.drawing+xml"/>
  <Override PartName="/xl/embeddings/oleObject11.bin" ContentType="application/vnd.openxmlformats-officedocument.oleObject"/>
  <Override PartName="/xl/embeddings/oleObject12.bin" ContentType="application/vnd.openxmlformats-officedocument.oleObject"/>
  <Override PartName="/xl/embeddings/oleObject13.bin" ContentType="application/vnd.openxmlformats-officedocument.oleObject"/>
  <Override PartName="/xl/comments5.xml" ContentType="application/vnd.openxmlformats-officedocument.spreadsheetml.comments+xml"/>
  <Override PartName="/xl/drawings/drawing8.xml" ContentType="application/vnd.openxmlformats-officedocument.drawing+xml"/>
  <Override PartName="/xl/embeddings/oleObject14.bin" ContentType="application/vnd.openxmlformats-officedocument.oleObject"/>
  <Override PartName="/xl/embeddings/oleObject15.bin" ContentType="application/vnd.openxmlformats-officedocument.oleObject"/>
  <Override PartName="/xl/comments6.xml" ContentType="application/vnd.openxmlformats-officedocument.spreadsheetml.comments+xml"/>
  <Override PartName="/xl/drawings/drawing9.xml" ContentType="application/vnd.openxmlformats-officedocument.drawing+xml"/>
  <Override PartName="/xl/embeddings/oleObject16.bin" ContentType="application/vnd.openxmlformats-officedocument.oleObject"/>
  <Override PartName="/xl/embeddings/oleObject17.bin" ContentType="application/vnd.openxmlformats-officedocument.oleObject"/>
  <Override PartName="/xl/embeddings/oleObject18.bin" ContentType="application/vnd.openxmlformats-officedocument.oleObject"/>
  <Override PartName="/xl/embeddings/oleObject19.bin" ContentType="application/vnd.openxmlformats-officedocument.oleObject"/>
  <Override PartName="/xl/embeddings/oleObject20.bin" ContentType="application/vnd.openxmlformats-officedocument.oleObject"/>
  <Override PartName="/xl/embeddings/oleObject21.bin" ContentType="application/vnd.openxmlformats-officedocument.oleObject"/>
  <Override PartName="/xl/comments7.xml" ContentType="application/vnd.openxmlformats-officedocument.spreadsheetml.comments+xml"/>
  <Override PartName="/xl/drawings/drawing10.xml" ContentType="application/vnd.openxmlformats-officedocument.drawing+xml"/>
  <Override PartName="/xl/embeddings/oleObject22.bin" ContentType="application/vnd.openxmlformats-officedocument.oleObject"/>
  <Override PartName="/xl/embeddings/oleObject23.bin" ContentType="application/vnd.openxmlformats-officedocument.oleObject"/>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https://d.docs.live.net/fb347fd33bc0e98d/Documents/"/>
    </mc:Choice>
  </mc:AlternateContent>
  <bookViews>
    <workbookView xWindow="0" yWindow="0" windowWidth="9780" windowHeight="4935" activeTab="6"/>
  </bookViews>
  <sheets>
    <sheet name="arcs" sheetId="1" r:id="rId1"/>
    <sheet name="ring segments" sheetId="11" r:id="rId2"/>
    <sheet name="stair" sheetId="10" r:id="rId3"/>
    <sheet name="helix stair" sheetId="9" r:id="rId4"/>
    <sheet name="springback" sheetId="2" r:id="rId5"/>
    <sheet name="dualslope" sheetId="5" r:id="rId6"/>
    <sheet name="crowncalc" sheetId="3" r:id="rId7"/>
    <sheet name="bigarcs" sheetId="6" r:id="rId8"/>
    <sheet name="ellipse" sheetId="4" r:id="rId9"/>
    <sheet name="proportion" sheetId="8" r:id="rId10"/>
  </sheets>
  <calcPr calcId="152511" iterateDelta="1E-4"/>
</workbook>
</file>

<file path=xl/calcChain.xml><?xml version="1.0" encoding="utf-8"?>
<calcChain xmlns="http://schemas.openxmlformats.org/spreadsheetml/2006/main">
  <c r="G6" i="1" l="1"/>
  <c r="B8" i="1"/>
  <c r="E7" i="1" s="1"/>
  <c r="E5" i="1" s="1"/>
  <c r="C7" i="1" s="1"/>
  <c r="D7" i="1" s="1"/>
  <c r="F7" i="1" s="1"/>
  <c r="G8" i="1"/>
  <c r="G9" i="1"/>
  <c r="G10" i="1"/>
  <c r="C11" i="1"/>
  <c r="D11" i="1" s="1"/>
  <c r="E11" i="1" s="1"/>
  <c r="F11" i="1" s="1"/>
  <c r="E14" i="1"/>
  <c r="C16" i="1" s="1"/>
  <c r="D16" i="1" s="1"/>
  <c r="F16" i="1" s="1"/>
  <c r="G43" i="1"/>
  <c r="G44" i="1"/>
  <c r="G45" i="1"/>
  <c r="G46" i="1"/>
  <c r="G47" i="1"/>
  <c r="E3" i="6"/>
  <c r="F3" i="6" s="1"/>
  <c r="C3" i="6" s="1"/>
  <c r="D3" i="6" s="1"/>
  <c r="C4" i="6"/>
  <c r="D4" i="6"/>
  <c r="E6" i="6"/>
  <c r="A6" i="6" s="1"/>
  <c r="C7" i="6" s="1"/>
  <c r="D6" i="6" s="1"/>
  <c r="B3" i="3"/>
  <c r="D3" i="3"/>
  <c r="E3" i="3"/>
  <c r="F3" i="3" s="1"/>
  <c r="A6" i="3" s="1"/>
  <c r="C10" i="3"/>
  <c r="D10" i="3" s="1"/>
  <c r="B24" i="3"/>
  <c r="C24" i="3" s="1"/>
  <c r="D24" i="3" s="1"/>
  <c r="G2" i="5"/>
  <c r="B3" i="5"/>
  <c r="D3" i="5"/>
  <c r="G3" i="5" s="1"/>
  <c r="H3" i="5" s="1"/>
  <c r="A6" i="5" s="1"/>
  <c r="F3" i="5"/>
  <c r="H5" i="5"/>
  <c r="I5" i="5"/>
  <c r="J5" i="5"/>
  <c r="K5" i="5" s="1"/>
  <c r="C10" i="5"/>
  <c r="D10" i="5"/>
  <c r="F3" i="4"/>
  <c r="C3" i="4" s="1"/>
  <c r="D3" i="4" s="1"/>
  <c r="C5" i="4"/>
  <c r="D5" i="4" s="1"/>
  <c r="C7" i="4"/>
  <c r="C9" i="4"/>
  <c r="D11" i="4" s="1"/>
  <c r="D9" i="4"/>
  <c r="C11" i="4"/>
  <c r="C4" i="9"/>
  <c r="A8" i="9" s="1"/>
  <c r="B8" i="9" s="1"/>
  <c r="B6" i="9"/>
  <c r="C14" i="9"/>
  <c r="B5" i="8"/>
  <c r="D5" i="8"/>
  <c r="B3" i="11"/>
  <c r="B7" i="11" s="1"/>
  <c r="B5" i="11"/>
  <c r="A7" i="11"/>
  <c r="B5" i="2"/>
  <c r="E4" i="2" s="1"/>
  <c r="E2" i="2" s="1"/>
  <c r="C4" i="2" s="1"/>
  <c r="D4" i="2" s="1"/>
  <c r="F4" i="2" s="1"/>
  <c r="C8" i="2"/>
  <c r="D8" i="2" s="1"/>
  <c r="E8" i="2" s="1"/>
  <c r="F8" i="2" s="1"/>
  <c r="E11" i="2"/>
  <c r="C13" i="2" s="1"/>
  <c r="D13" i="2" s="1"/>
  <c r="F13" i="2" s="1"/>
  <c r="C17" i="2"/>
  <c r="G19" i="2" s="1"/>
  <c r="E19" i="2"/>
  <c r="J16" i="2" s="1"/>
  <c r="K15" i="2" s="1"/>
  <c r="B5" i="10"/>
  <c r="A7" i="10"/>
  <c r="B7" i="10" s="1"/>
  <c r="A9" i="10"/>
  <c r="B9" i="10"/>
  <c r="G3" i="3" l="1"/>
  <c r="H3" i="3" s="1"/>
  <c r="C6" i="3" s="1"/>
  <c r="B10" i="9"/>
  <c r="C8" i="9"/>
  <c r="C10" i="9" s="1"/>
  <c r="L5" i="5"/>
  <c r="M5" i="5" s="1"/>
  <c r="B6" i="5" s="1"/>
  <c r="I17" i="2"/>
  <c r="I15" i="2" s="1"/>
  <c r="J15" i="2" s="1"/>
  <c r="F17" i="2"/>
  <c r="I19" i="2" s="1"/>
  <c r="J19" i="2" s="1"/>
  <c r="K19" i="2" s="1"/>
  <c r="G16" i="2" s="1"/>
  <c r="I3" i="5"/>
  <c r="J3" i="5" s="1"/>
  <c r="C6" i="5" s="1"/>
  <c r="F11" i="2"/>
  <c r="E13" i="2" s="1"/>
  <c r="C6" i="9"/>
  <c r="F14" i="1"/>
  <c r="E16" i="1" s="1"/>
</calcChain>
</file>

<file path=xl/comments1.xml><?xml version="1.0" encoding="utf-8"?>
<comments xmlns="http://schemas.openxmlformats.org/spreadsheetml/2006/main">
  <authors>
    <author>Paul Huntington</author>
  </authors>
  <commentList>
    <comment ref="A1" authorId="0" shapeId="0">
      <text>
        <r>
          <rPr>
            <sz val="9"/>
            <color indexed="81"/>
            <rFont val="Tahoma"/>
          </rPr>
          <t xml:space="preserve">This is just a helpful set of formulas for radius work.
An example would be, when making arch cabinet doors, chord length and height of arc in line 11, and you get the radius, for setting up a router. No drawing in cad needed. You can calculate a dozen arcs in a minute.
</t>
        </r>
      </text>
    </comment>
  </commentList>
</comments>
</file>

<file path=xl/comments2.xml><?xml version="1.0" encoding="utf-8"?>
<comments xmlns="http://schemas.openxmlformats.org/spreadsheetml/2006/main">
  <authors>
    <author>Paul Huntington</author>
  </authors>
  <commentList>
    <comment ref="B2" authorId="0" shapeId="0">
      <text>
        <r>
          <rPr>
            <sz val="9"/>
            <color indexed="81"/>
            <rFont val="Verdana"/>
            <family val="2"/>
          </rPr>
          <t>The bottom landing needs to be figured as a tread for these calculations to work correctly.</t>
        </r>
        <r>
          <rPr>
            <sz val="9"/>
            <color indexed="81"/>
            <rFont val="Tahoma"/>
          </rPr>
          <t xml:space="preserve">
</t>
        </r>
      </text>
    </comment>
  </commentList>
</comments>
</file>

<file path=xl/comments3.xml><?xml version="1.0" encoding="utf-8"?>
<comments xmlns="http://schemas.openxmlformats.org/spreadsheetml/2006/main">
  <authors>
    <author>Paul Huntington</author>
  </authors>
  <commentList>
    <comment ref="A15" authorId="0" shapeId="0">
      <text>
        <r>
          <rPr>
            <sz val="9"/>
            <color indexed="81"/>
            <rFont val="Tahoma"/>
          </rPr>
          <t xml:space="preserve">If you know chord and radius of your arc, enter values in formula above. Then enter the number from cell E13 into cell A16.
</t>
        </r>
      </text>
    </comment>
    <comment ref="C15" authorId="0" shapeId="0">
      <text>
        <r>
          <rPr>
            <sz val="9"/>
            <color indexed="81"/>
            <rFont val="Tahoma"/>
          </rPr>
          <t>Note:</t>
        </r>
        <r>
          <rPr>
            <sz val="9"/>
            <color indexed="10"/>
            <rFont val="Tahoma"/>
            <family val="2"/>
          </rPr>
          <t xml:space="preserve"> </t>
        </r>
        <r>
          <rPr>
            <sz val="10"/>
            <color indexed="10"/>
            <rFont val="Tahoma"/>
            <family val="2"/>
          </rPr>
          <t>height and rise of an arc, are the same thing</t>
        </r>
        <r>
          <rPr>
            <sz val="9"/>
            <color indexed="81"/>
            <rFont val="Tahoma"/>
          </rPr>
          <t>.
At this time, no actual testing has been done, this formula is just for reference, so that when an accurate springback distance is finally determined, the numbers can be recorded.
If a test piece is made, then a percentage of error can be noted in column c, and kept for reference. Thereafter, that percentage of correction can be manually entered into cell B 19.</t>
        </r>
      </text>
    </comment>
    <comment ref="E16" authorId="0" shapeId="0">
      <text>
        <r>
          <rPr>
            <sz val="9"/>
            <color indexed="81"/>
            <rFont val="Tahoma"/>
          </rPr>
          <t>Enter a number that is the radius you want, as well as a value in cell A16 for the arc rise. Then look into cells G16 and G19 for the values that you need to make your jig.
The length of the desired chord and the length of the jig chord should remain the same.</t>
        </r>
      </text>
    </comment>
    <comment ref="D30" authorId="0" shapeId="0">
      <text>
        <r>
          <rPr>
            <sz val="9"/>
            <color indexed="81"/>
            <rFont val="Tahoma"/>
          </rPr>
          <t>Made a 3 ply curve, actual springback was .88" for a 50.5" chord curve
                    10.56 height
program calculated a 1.3" springback.
Error correction is   -.36</t>
        </r>
      </text>
    </comment>
  </commentList>
</comments>
</file>

<file path=xl/comments4.xml><?xml version="1.0" encoding="utf-8"?>
<comments xmlns="http://schemas.openxmlformats.org/spreadsheetml/2006/main">
  <authors>
    <author>Paul Huntington</author>
  </authors>
  <commentList>
    <comment ref="G1" authorId="0" shapeId="0">
      <text>
        <r>
          <rPr>
            <sz val="9"/>
            <color indexed="81"/>
            <rFont val="Tahoma"/>
          </rPr>
          <t xml:space="preserve">This program will calculate the miter and bevel of cuts needed to make a 4 sided fixture that has a different slope on the sides then the front and back.
Bevel of pieces is the same on all 4 corners, so one can index off the inside for making joint fasteners, such as biscuits or splines.
I made some mockups, and the numbers seem to be fairly accurate, but I cannot garentee results.
</t>
        </r>
      </text>
    </comment>
  </commentList>
</comments>
</file>

<file path=xl/comments5.xml><?xml version="1.0" encoding="utf-8"?>
<comments xmlns="http://schemas.openxmlformats.org/spreadsheetml/2006/main">
  <authors>
    <author>Paul Huntington</author>
  </authors>
  <commentList>
    <comment ref="E15" authorId="0" shapeId="0">
      <text>
        <r>
          <rPr>
            <sz val="9"/>
            <color indexed="81"/>
            <rFont val="Tahoma"/>
          </rPr>
          <t xml:space="preserve">This formula is great for finding compound angles for crown molding. Unconventional molding slope, no problem. It also will work for a wall angle of any degree. 
It will also help you calculate pieces for something like a sloped polygon planter. The other fomulas will help in finding angles, and be sure to note cell D 23 if working with polygons.
</t>
        </r>
      </text>
    </comment>
  </commentList>
</comments>
</file>

<file path=xl/comments6.xml><?xml version="1.0" encoding="utf-8"?>
<comments xmlns="http://schemas.openxmlformats.org/spreadsheetml/2006/main">
  <authors>
    <author>Paul Huntington</author>
  </authors>
  <commentList>
    <comment ref="E2" authorId="0" shapeId="0">
      <text>
        <r>
          <rPr>
            <sz val="9"/>
            <color indexed="81"/>
            <rFont val="Tahoma"/>
          </rPr>
          <t xml:space="preserve">This is a very nice method of making large arcs using a router, that is different from a very long router base attachment. 
Fasten router, so router bit is right on the edge of the base jig. 
Then cut 1/2 of arc, with 2 pins in place. Then cut other side.
This worked very well for the beam I put in my kitchen.
</t>
        </r>
      </text>
    </comment>
  </commentList>
</comments>
</file>

<file path=xl/comments7.xml><?xml version="1.0" encoding="utf-8"?>
<comments xmlns="http://schemas.openxmlformats.org/spreadsheetml/2006/main">
  <authors>
    <author>Paul Huntington</author>
  </authors>
  <commentList>
    <comment ref="F20" authorId="0" shapeId="0">
      <text>
        <r>
          <rPr>
            <sz val="9"/>
            <color indexed="81"/>
            <rFont val="Tahoma"/>
          </rPr>
          <t xml:space="preserve">This is a standard method of making ellipse templates.
As in drawing below, you can make the template for table edging. This is for use on a shaper that is set up with a flush cutter and bearing.
Be sure to cut rough stock within 1/8" of template for clean shaper work.
If edging is of solid stock rather than laminated stock, use a setup on the shaper using 2 bearings with the flush cutter. This will allow cutter to be raised and lowered, and wood screwed to template, flipped over. This is so you can cut with the grain on the curves, rather than into it.
</t>
        </r>
      </text>
    </comment>
  </commentList>
</comments>
</file>

<file path=xl/sharedStrings.xml><?xml version="1.0" encoding="utf-8"?>
<sst xmlns="http://schemas.openxmlformats.org/spreadsheetml/2006/main" count="204" uniqueCount="153">
  <si>
    <t>chord</t>
  </si>
  <si>
    <t>height</t>
  </si>
  <si>
    <t>Radius</t>
  </si>
  <si>
    <t>radius</t>
  </si>
  <si>
    <t>Rise</t>
  </si>
  <si>
    <t># of Plys</t>
  </si>
  <si>
    <t>Springback</t>
  </si>
  <si>
    <t>Wall angle degrees</t>
  </si>
  <si>
    <t>Right triangle - angle finder</t>
  </si>
  <si>
    <t>short leg length</t>
  </si>
  <si>
    <t>long leg length</t>
  </si>
  <si>
    <t>small angle degrees</t>
  </si>
  <si>
    <t>Regular polygon angle finder</t>
  </si>
  <si>
    <t>number of sides</t>
  </si>
  <si>
    <t>rads</t>
  </si>
  <si>
    <t>degree of angle</t>
  </si>
  <si>
    <t xml:space="preserve"> side slope degrees</t>
  </si>
  <si>
    <t>end slope degrees</t>
  </si>
  <si>
    <t>crown molding
compound miter formula</t>
  </si>
  <si>
    <t>miter cut
degrees</t>
  </si>
  <si>
    <t>bevel cut
degrees</t>
  </si>
  <si>
    <t xml:space="preserve">  slope degrees
 (smaller angle of right triangle)</t>
  </si>
  <si>
    <t>wall angle degrees
(from 180 degrees,
example-enter 45 for
135 degree wall</t>
  </si>
  <si>
    <t>side slope 
miter cut - degrees</t>
  </si>
  <si>
    <t>end slope
miter cut - degrees</t>
  </si>
  <si>
    <t>Dual Slope
Compound Miter formula</t>
  </si>
  <si>
    <t>Bevel</t>
  </si>
  <si>
    <t>Side miter
degrees</t>
  </si>
  <si>
    <t>End miter
degrees</t>
  </si>
  <si>
    <t xml:space="preserve">end slope
</t>
  </si>
  <si>
    <t xml:space="preserve">side slope 
</t>
  </si>
  <si>
    <t>miter degrees</t>
  </si>
  <si>
    <t>bevel degrees</t>
  </si>
  <si>
    <t>Varibles in red</t>
  </si>
  <si>
    <t xml:space="preserve">ELLIPSE PROPERTIES
</t>
  </si>
  <si>
    <t>Answers in Blue</t>
  </si>
  <si>
    <t xml:space="preserve">semi-major axis
</t>
  </si>
  <si>
    <t xml:space="preserve">Semi-minor axis
</t>
  </si>
  <si>
    <t>Perimeter</t>
  </si>
  <si>
    <t>1/4 ellipse arc</t>
  </si>
  <si>
    <t>Area</t>
  </si>
  <si>
    <t xml:space="preserve"> 1/4 ellipse area</t>
  </si>
  <si>
    <t>Distance
 between  Foci</t>
  </si>
  <si>
    <t>string length</t>
  </si>
  <si>
    <t>Two nails,pencil
and string method</t>
  </si>
  <si>
    <t>Two axis, router and extended base method</t>
  </si>
  <si>
    <t>Varibles in Red</t>
  </si>
  <si>
    <t>Chord</t>
  </si>
  <si>
    <t>Arc length</t>
  </si>
  <si>
    <t>Alternate method of routing large arcs</t>
  </si>
  <si>
    <t>Arc length formula</t>
  </si>
  <si>
    <t>Correction
percentage
(decimal)</t>
  </si>
  <si>
    <t>Elastic
factor</t>
  </si>
  <si>
    <t>Tree type</t>
  </si>
  <si>
    <t>Elastic factor</t>
  </si>
  <si>
    <t>Tested correction
factor (decimal)</t>
  </si>
  <si>
    <t>Alder, red</t>
  </si>
  <si>
    <t>Ash white</t>
  </si>
  <si>
    <t>Aspen, quaking</t>
  </si>
  <si>
    <t>Basswood</t>
  </si>
  <si>
    <t>Beech</t>
  </si>
  <si>
    <t>Birch, yellow</t>
  </si>
  <si>
    <t>Butternut</t>
  </si>
  <si>
    <t>Cherry, black</t>
  </si>
  <si>
    <t>Cottonwood</t>
  </si>
  <si>
    <t>Hickory, pecan</t>
  </si>
  <si>
    <t>Hickory, shagbark</t>
  </si>
  <si>
    <t>locust, black</t>
  </si>
  <si>
    <t>Maple, silver</t>
  </si>
  <si>
    <t>Maple, sugar</t>
  </si>
  <si>
    <t>Oak, northern red</t>
  </si>
  <si>
    <t>Oak, souther red</t>
  </si>
  <si>
    <t>Oak, white</t>
  </si>
  <si>
    <t>Sassafras</t>
  </si>
  <si>
    <t>Sycamore</t>
  </si>
  <si>
    <t>Walnut, black</t>
  </si>
  <si>
    <t>Poplar, yellow</t>
  </si>
  <si>
    <t>cedar, incense</t>
  </si>
  <si>
    <t>cedar, western</t>
  </si>
  <si>
    <t>Douglas fir</t>
  </si>
  <si>
    <t>Fir, white</t>
  </si>
  <si>
    <t>Fir, mountain</t>
  </si>
  <si>
    <t>Pine, white</t>
  </si>
  <si>
    <t>Pine, lodgepole</t>
  </si>
  <si>
    <t>Pine, ponderosa</t>
  </si>
  <si>
    <t>Pine, sugar</t>
  </si>
  <si>
    <t>Redwood, young</t>
  </si>
  <si>
    <t>Spruce, white</t>
  </si>
  <si>
    <t>Purpleheart</t>
  </si>
  <si>
    <t>Rosewood</t>
  </si>
  <si>
    <t>Mahogany, african</t>
  </si>
  <si>
    <t>Mahogany, true</t>
  </si>
  <si>
    <t>Balsa</t>
  </si>
  <si>
    <t>Bubinga</t>
  </si>
  <si>
    <t>Teak</t>
  </si>
  <si>
    <t>angle degrees</t>
  </si>
  <si>
    <t>Right angle
leg</t>
  </si>
  <si>
    <t>Half chord</t>
  </si>
  <si>
    <t>Angle rads</t>
  </si>
  <si>
    <t>half chord</t>
  </si>
  <si>
    <t>Angle degrees</t>
  </si>
  <si>
    <t>Arc Length formula</t>
  </si>
  <si>
    <t>Height</t>
  </si>
  <si>
    <t>most accurate formula</t>
  </si>
  <si>
    <t>least accurate formula</t>
  </si>
  <si>
    <t>Wall angle to
enter into cell c3</t>
  </si>
  <si>
    <t xml:space="preserve">Numbers in Red are varibles
</t>
  </si>
  <si>
    <t>Hold cursor over this for notes</t>
  </si>
  <si>
    <t>Hold cursor over
 this for notes</t>
  </si>
  <si>
    <t>Hold cursor over this cell for notes</t>
  </si>
  <si>
    <t>hold cursor over this</t>
  </si>
  <si>
    <t>hold cursor
 over this cell
 for notes</t>
  </si>
  <si>
    <t>Hold cursor over
this cell for notes</t>
  </si>
  <si>
    <t>1.618 ratio</t>
  </si>
  <si>
    <t>width</t>
  </si>
  <si>
    <t>ratio</t>
  </si>
  <si>
    <t>to 1</t>
  </si>
  <si>
    <t>Hypotenuse
 length</t>
  </si>
  <si>
    <t>1/2 string length</t>
  </si>
  <si>
    <t>Desired arc
Radius</t>
  </si>
  <si>
    <t>Arc rise</t>
  </si>
  <si>
    <t>Desired chord</t>
  </si>
  <si>
    <t>Make Jig
Arc rise</t>
  </si>
  <si>
    <t>Make Jig
 Radius</t>
  </si>
  <si>
    <t>Stair rise</t>
  </si>
  <si>
    <t>Stair run</t>
  </si>
  <si>
    <t>cylinder
 circumference</t>
  </si>
  <si>
    <t>hypotenuse</t>
  </si>
  <si>
    <t>helix height</t>
  </si>
  <si>
    <t>handrail length
per helix</t>
  </si>
  <si>
    <t>number of helix
revolutions</t>
  </si>
  <si>
    <t>total length of
handrail</t>
  </si>
  <si>
    <t>radius of  flattened
helix (torus)</t>
  </si>
  <si>
    <t>small angle
in rads</t>
  </si>
  <si>
    <t>small angle 
in degrees</t>
  </si>
  <si>
    <t>Helical handrail calculator</t>
  </si>
  <si>
    <t>A simple helix is the hypotenuse of a right triangle wrapped around a cylinder,
where the base of the triangle is equal to the circumference of the cylinder.</t>
  </si>
  <si>
    <t>Cost per bd. ft.
of lumber used</t>
  </si>
  <si>
    <t># of bd. feet used
per foot of handrail</t>
  </si>
  <si>
    <t>total cost</t>
  </si>
  <si>
    <t>cylinder radius (planview of
helix handrail radius)</t>
  </si>
  <si>
    <t xml:space="preserve"> Stair calculator</t>
  </si>
  <si>
    <t>Stair height</t>
  </si>
  <si>
    <t>Number of treads</t>
  </si>
  <si>
    <t>Total stair run</t>
  </si>
  <si>
    <t>Tread run</t>
  </si>
  <si>
    <t>Step rise</t>
  </si>
  <si>
    <t>Number of
segments
per ring</t>
  </si>
  <si>
    <t>Diameter of
ring</t>
  </si>
  <si>
    <t>angle of
cuts on
segments</t>
  </si>
  <si>
    <t>ring 
circumference</t>
  </si>
  <si>
    <t>horizontal
angle on jig</t>
  </si>
  <si>
    <t>vertical angle 
on jig</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</si>
</sst>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7" formatCode="&quot;$&quot;#,##0.00_);\(&quot;$&quot;#,##0.00\)"/>
    <numFmt numFmtId="164" formatCode="0.000"/>
    <numFmt numFmtId="165" formatCode="0.0000"/>
    <numFmt numFmtId="166" formatCode="0.00000"/>
    <numFmt numFmtId="168" formatCode="#,##0.0000_);\(#,##0.0000\)"/>
    <numFmt numFmtId="173" formatCode="&quot;$&quot;#,##0.00"/>
  </numFmts>
  <fonts count="78" x14ac:knownFonts="1">
    <font>
      <sz val="10"/>
      <name val="Arial"/>
    </font>
    <font>
      <b/>
      <sz val="10"/>
      <name val="Arial"/>
    </font>
    <font>
      <sz val="9"/>
      <name val="Tahoma"/>
    </font>
    <font>
      <b/>
      <sz val="9"/>
      <name val="Tahoma"/>
    </font>
    <font>
      <b/>
      <sz val="9"/>
      <name val="Verdana"/>
    </font>
    <font>
      <b/>
      <sz val="9"/>
      <color indexed="9"/>
      <name val="Tahoma"/>
    </font>
    <font>
      <sz val="9"/>
      <color indexed="9"/>
      <name val="Tahoma"/>
    </font>
    <font>
      <b/>
      <sz val="9"/>
      <name val="Century Gothic"/>
    </font>
    <font>
      <b/>
      <sz val="14"/>
      <name val="Verdana"/>
    </font>
    <font>
      <b/>
      <sz val="9"/>
      <color indexed="10"/>
      <name val="Tahoma"/>
    </font>
    <font>
      <b/>
      <sz val="9"/>
      <color indexed="8"/>
      <name val="Tahoma"/>
      <family val="2"/>
    </font>
    <font>
      <b/>
      <sz val="9"/>
      <color indexed="8"/>
      <name val="Tahoma"/>
    </font>
    <font>
      <b/>
      <sz val="20"/>
      <color indexed="12"/>
      <name val="Verdana"/>
      <family val="2"/>
    </font>
    <font>
      <b/>
      <sz val="9"/>
      <color indexed="12"/>
      <name val="Tahoma"/>
      <family val="2"/>
    </font>
    <font>
      <b/>
      <sz val="16"/>
      <color indexed="10"/>
      <name val="Verdana"/>
      <family val="2"/>
    </font>
    <font>
      <sz val="10"/>
      <name val="Verdana"/>
      <family val="2"/>
    </font>
    <font>
      <b/>
      <sz val="11"/>
      <name val="Verdana"/>
      <family val="2"/>
    </font>
    <font>
      <b/>
      <sz val="10"/>
      <color indexed="10"/>
      <name val="Verdana"/>
      <family val="2"/>
    </font>
    <font>
      <b/>
      <sz val="10"/>
      <color indexed="12"/>
      <name val="Verdana"/>
      <family val="2"/>
    </font>
    <font>
      <sz val="10"/>
      <color indexed="9"/>
      <name val="Verdana"/>
      <family val="2"/>
    </font>
    <font>
      <b/>
      <sz val="10"/>
      <name val="Verdana"/>
      <family val="2"/>
    </font>
    <font>
      <b/>
      <sz val="10"/>
      <color indexed="17"/>
      <name val="Verdana"/>
      <family val="2"/>
    </font>
    <font>
      <b/>
      <sz val="12"/>
      <name val="Verdana"/>
      <family val="2"/>
    </font>
    <font>
      <b/>
      <sz val="9"/>
      <color indexed="10"/>
      <name val="Verdana"/>
      <family val="2"/>
    </font>
    <font>
      <b/>
      <sz val="9"/>
      <color indexed="12"/>
      <name val="Verdana"/>
      <family val="2"/>
    </font>
    <font>
      <b/>
      <sz val="9"/>
      <color indexed="9"/>
      <name val="Verdana"/>
      <family val="2"/>
    </font>
    <font>
      <b/>
      <sz val="9"/>
      <name val="Verdana"/>
      <family val="2"/>
    </font>
    <font>
      <b/>
      <sz val="8"/>
      <name val="Verdana"/>
      <family val="2"/>
    </font>
    <font>
      <b/>
      <sz val="10"/>
      <color indexed="8"/>
      <name val="Verdana"/>
      <family val="2"/>
    </font>
    <font>
      <b/>
      <sz val="9"/>
      <color indexed="8"/>
      <name val="Verdana"/>
      <family val="2"/>
    </font>
    <font>
      <b/>
      <sz val="9"/>
      <color indexed="10"/>
      <name val="Tahoma"/>
      <family val="2"/>
    </font>
    <font>
      <b/>
      <sz val="9"/>
      <color indexed="9"/>
      <name val="Century Gothic"/>
    </font>
    <font>
      <b/>
      <sz val="9"/>
      <color indexed="9"/>
      <name val="Century Gothic"/>
      <family val="2"/>
    </font>
    <font>
      <b/>
      <sz val="12"/>
      <color indexed="10"/>
      <name val="Verdana"/>
      <family val="2"/>
    </font>
    <font>
      <b/>
      <sz val="12"/>
      <color indexed="12"/>
      <name val="Verdana"/>
      <family val="2"/>
    </font>
    <font>
      <b/>
      <sz val="10"/>
      <color indexed="9"/>
      <name val="Verdana"/>
      <family val="2"/>
    </font>
    <font>
      <b/>
      <sz val="9"/>
      <color indexed="9"/>
      <name val="Tahoma"/>
      <family val="2"/>
    </font>
    <font>
      <b/>
      <sz val="16"/>
      <color indexed="8"/>
      <name val="Tahoma"/>
      <family val="2"/>
    </font>
    <font>
      <b/>
      <sz val="8"/>
      <name val="Century Gothic"/>
    </font>
    <font>
      <b/>
      <sz val="14"/>
      <color indexed="8"/>
      <name val="Tahoma"/>
      <family val="2"/>
    </font>
    <font>
      <b/>
      <sz val="18"/>
      <color indexed="8"/>
      <name val="Tahoma"/>
      <family val="2"/>
    </font>
    <font>
      <b/>
      <sz val="9"/>
      <color indexed="46"/>
      <name val="Tahoma"/>
      <family val="2"/>
    </font>
    <font>
      <b/>
      <sz val="9"/>
      <color indexed="22"/>
      <name val="Tahoma"/>
      <family val="2"/>
    </font>
    <font>
      <sz val="8"/>
      <name val="Verdana"/>
      <family val="2"/>
    </font>
    <font>
      <b/>
      <sz val="14"/>
      <name val="Verdana"/>
      <family val="2"/>
    </font>
    <font>
      <sz val="24"/>
      <name val="Verdana"/>
      <family val="2"/>
    </font>
    <font>
      <sz val="9"/>
      <name val="Verdana"/>
      <family val="2"/>
    </font>
    <font>
      <sz val="9"/>
      <color indexed="41"/>
      <name val="Verdana"/>
      <family val="2"/>
    </font>
    <font>
      <sz val="9"/>
      <color indexed="10"/>
      <name val="Verdana"/>
      <family val="2"/>
    </font>
    <font>
      <sz val="9"/>
      <color indexed="9"/>
      <name val="Verdana"/>
      <family val="2"/>
    </font>
    <font>
      <sz val="9"/>
      <color indexed="8"/>
      <name val="Verdana"/>
      <family val="2"/>
    </font>
    <font>
      <b/>
      <sz val="14"/>
      <color indexed="10"/>
      <name val="Verdana"/>
      <family val="2"/>
    </font>
    <font>
      <b/>
      <sz val="12"/>
      <color indexed="8"/>
      <name val="Verdana"/>
      <family val="2"/>
    </font>
    <font>
      <b/>
      <sz val="14"/>
      <color indexed="9"/>
      <name val="Verdana"/>
      <family val="2"/>
    </font>
    <font>
      <sz val="8"/>
      <color indexed="8"/>
      <name val="Verdana"/>
      <family val="2"/>
    </font>
    <font>
      <b/>
      <sz val="18"/>
      <color indexed="8"/>
      <name val="Verdana"/>
      <family val="2"/>
    </font>
    <font>
      <sz val="16"/>
      <color indexed="8"/>
      <name val="Verdana"/>
      <family val="2"/>
    </font>
    <font>
      <sz val="14"/>
      <color indexed="8"/>
      <name val="Verdana"/>
      <family val="2"/>
    </font>
    <font>
      <sz val="18"/>
      <color indexed="8"/>
      <name val="Verdana"/>
      <family val="2"/>
    </font>
    <font>
      <i/>
      <sz val="9"/>
      <name val="Verdana"/>
      <family val="2"/>
    </font>
    <font>
      <sz val="9"/>
      <color indexed="42"/>
      <name val="Verdana"/>
      <family val="2"/>
    </font>
    <font>
      <b/>
      <sz val="18"/>
      <name val="Verdana"/>
      <family val="2"/>
    </font>
    <font>
      <sz val="9"/>
      <color indexed="81"/>
      <name val="Tahoma"/>
    </font>
    <font>
      <sz val="10"/>
      <color indexed="14"/>
      <name val="Verdana"/>
      <family val="2"/>
    </font>
    <font>
      <b/>
      <sz val="10"/>
      <color indexed="14"/>
      <name val="Arial"/>
      <family val="2"/>
    </font>
    <font>
      <b/>
      <sz val="8"/>
      <color indexed="14"/>
      <name val="Century Gothic"/>
      <family val="2"/>
    </font>
    <font>
      <b/>
      <sz val="10"/>
      <color indexed="17"/>
      <name val="Century Gothic"/>
      <family val="2"/>
    </font>
    <font>
      <b/>
      <sz val="11"/>
      <color indexed="8"/>
      <name val="Verdana"/>
      <family val="2"/>
    </font>
    <font>
      <b/>
      <sz val="9"/>
      <color indexed="14"/>
      <name val="Verdana"/>
      <family val="2"/>
    </font>
    <font>
      <sz val="9"/>
      <color indexed="10"/>
      <name val="Tahoma"/>
      <family val="2"/>
    </font>
    <font>
      <sz val="10"/>
      <color indexed="10"/>
      <name val="Tahoma"/>
      <family val="2"/>
    </font>
    <font>
      <b/>
      <sz val="8"/>
      <color indexed="8"/>
      <name val="Verdana"/>
      <family val="2"/>
    </font>
    <font>
      <b/>
      <sz val="11"/>
      <name val="Arial"/>
      <family val="2"/>
    </font>
    <font>
      <sz val="9"/>
      <color indexed="81"/>
      <name val="Verdana"/>
      <family val="2"/>
    </font>
    <font>
      <sz val="10"/>
      <color indexed="10"/>
      <name val="Verdana"/>
      <family val="2"/>
    </font>
    <font>
      <sz val="8"/>
      <color indexed="9"/>
      <name val="Verdana"/>
      <family val="2"/>
    </font>
    <font>
      <sz val="9"/>
      <color indexed="22"/>
      <name val="Verdana"/>
      <family val="2"/>
    </font>
    <font>
      <sz val="9"/>
      <color indexed="46"/>
      <name val="Verdana"/>
      <family val="2"/>
    </font>
  </fonts>
  <fills count="13">
    <fill>
      <patternFill patternType="none"/>
    </fill>
    <fill>
      <patternFill patternType="gray125"/>
    </fill>
    <fill>
      <patternFill patternType="solid">
        <fgColor indexed="43"/>
        <bgColor indexed="64"/>
      </patternFill>
    </fill>
    <fill>
      <patternFill patternType="solid">
        <fgColor indexed="45"/>
        <bgColor indexed="64"/>
      </patternFill>
    </fill>
    <fill>
      <patternFill patternType="solid">
        <fgColor indexed="42"/>
        <bgColor indexed="64"/>
      </patternFill>
    </fill>
    <fill>
      <patternFill patternType="solid">
        <fgColor indexed="26"/>
        <bgColor indexed="64"/>
      </patternFill>
    </fill>
    <fill>
      <patternFill patternType="solid">
        <fgColor indexed="41"/>
        <bgColor indexed="64"/>
      </patternFill>
    </fill>
    <fill>
      <patternFill patternType="solid">
        <fgColor indexed="49"/>
        <bgColor indexed="64"/>
      </patternFill>
    </fill>
    <fill>
      <patternFill patternType="solid">
        <fgColor indexed="46"/>
        <bgColor indexed="64"/>
      </patternFill>
    </fill>
    <fill>
      <patternFill patternType="solid">
        <fgColor indexed="47"/>
        <bgColor indexed="64"/>
      </patternFill>
    </fill>
    <fill>
      <patternFill patternType="solid">
        <fgColor indexed="15"/>
        <bgColor indexed="64"/>
      </patternFill>
    </fill>
    <fill>
      <patternFill patternType="solid">
        <fgColor indexed="22"/>
        <bgColor indexed="64"/>
      </patternFill>
    </fill>
    <fill>
      <patternFill patternType="solid">
        <fgColor indexed="44"/>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275">
    <xf numFmtId="0" fontId="0" fillId="0" borderId="0" xfId="0"/>
    <xf numFmtId="0" fontId="16" fillId="0" borderId="0" xfId="0" applyFont="1" applyAlignment="1">
      <alignment horizontal="center" vertical="center" wrapText="1"/>
    </xf>
    <xf numFmtId="0" fontId="22" fillId="0" borderId="0" xfId="0" applyFont="1" applyAlignment="1">
      <alignment horizontal="center" vertical="center"/>
    </xf>
    <xf numFmtId="0" fontId="23" fillId="0" borderId="1" xfId="0" applyNumberFormat="1" applyFont="1" applyFill="1" applyBorder="1" applyAlignment="1" applyProtection="1">
      <alignment horizontal="center" vertical="center"/>
      <protection locked="0"/>
    </xf>
    <xf numFmtId="0" fontId="30" fillId="0" borderId="1" xfId="0" applyNumberFormat="1" applyFont="1" applyFill="1" applyBorder="1" applyAlignment="1" applyProtection="1">
      <alignment horizontal="center"/>
      <protection locked="0"/>
    </xf>
    <xf numFmtId="164" fontId="23" fillId="0" borderId="1" xfId="0" applyNumberFormat="1" applyFont="1" applyFill="1" applyBorder="1" applyAlignment="1" applyProtection="1">
      <alignment horizontal="center" vertical="center" wrapText="1"/>
      <protection locked="0"/>
    </xf>
    <xf numFmtId="164" fontId="18" fillId="2" borderId="0" xfId="0" applyNumberFormat="1" applyFont="1" applyFill="1" applyAlignment="1">
      <alignment horizontal="center" vertical="center"/>
    </xf>
    <xf numFmtId="0" fontId="20" fillId="3" borderId="0" xfId="0" applyFont="1" applyFill="1" applyAlignment="1">
      <alignment horizontal="center" vertical="center" wrapText="1"/>
    </xf>
    <xf numFmtId="164" fontId="18" fillId="3" borderId="0" xfId="0" applyNumberFormat="1" applyFont="1" applyFill="1" applyAlignment="1">
      <alignment horizontal="center" vertical="center"/>
    </xf>
    <xf numFmtId="164" fontId="21" fillId="3" borderId="0" xfId="0" applyNumberFormat="1" applyFont="1" applyFill="1" applyAlignment="1">
      <alignment horizontal="center" vertical="center"/>
    </xf>
    <xf numFmtId="0" fontId="18" fillId="2" borderId="0" xfId="0" applyFont="1" applyFill="1" applyAlignment="1">
      <alignment horizontal="center" vertical="center"/>
    </xf>
    <xf numFmtId="0" fontId="33" fillId="0" borderId="0" xfId="0" applyFont="1" applyAlignment="1">
      <alignment horizontal="center" vertical="center"/>
    </xf>
    <xf numFmtId="0" fontId="20" fillId="0" borderId="0" xfId="0" applyFont="1" applyAlignment="1">
      <alignment horizontal="center" vertical="center"/>
    </xf>
    <xf numFmtId="0" fontId="34" fillId="0" borderId="0" xfId="0" applyFont="1" applyAlignment="1">
      <alignment horizontal="center" vertical="center"/>
    </xf>
    <xf numFmtId="0" fontId="1" fillId="0" borderId="0" xfId="0" applyFont="1"/>
    <xf numFmtId="0" fontId="20" fillId="2" borderId="0" xfId="0" applyFont="1" applyFill="1" applyAlignment="1">
      <alignment horizontal="center" vertical="center" wrapText="1"/>
    </xf>
    <xf numFmtId="0" fontId="20" fillId="2" borderId="0" xfId="0" applyFont="1" applyFill="1" applyAlignment="1">
      <alignment horizontal="center" vertical="center"/>
    </xf>
    <xf numFmtId="0" fontId="35" fillId="0" borderId="0" xfId="0" applyFont="1" applyAlignment="1">
      <alignment horizontal="center" vertical="center"/>
    </xf>
    <xf numFmtId="0" fontId="20" fillId="3" borderId="0" xfId="0" applyFont="1" applyFill="1" applyAlignment="1">
      <alignment horizontal="center" vertical="center"/>
    </xf>
    <xf numFmtId="0" fontId="28" fillId="3" borderId="0" xfId="0" applyFont="1" applyFill="1" applyAlignment="1">
      <alignment horizontal="center" vertical="center" wrapText="1"/>
    </xf>
    <xf numFmtId="0" fontId="21" fillId="3" borderId="0" xfId="0" applyFont="1" applyFill="1" applyAlignment="1">
      <alignment horizontal="center" vertical="center"/>
    </xf>
    <xf numFmtId="0" fontId="1" fillId="3" borderId="0" xfId="0" applyFont="1" applyFill="1"/>
    <xf numFmtId="0" fontId="36" fillId="0" borderId="0" xfId="0" applyNumberFormat="1" applyFont="1" applyFill="1" applyBorder="1" applyAlignment="1" applyProtection="1">
      <alignment horizontal="center" vertical="center"/>
    </xf>
    <xf numFmtId="0" fontId="5" fillId="0" borderId="0" xfId="0" applyNumberFormat="1" applyFont="1" applyFill="1" applyBorder="1" applyAlignment="1" applyProtection="1">
      <alignment horizontal="right"/>
    </xf>
    <xf numFmtId="0" fontId="36" fillId="0" borderId="0" xfId="0" applyNumberFormat="1" applyFont="1" applyFill="1" applyBorder="1" applyAlignment="1" applyProtection="1">
      <alignment horizontal="right"/>
    </xf>
    <xf numFmtId="0" fontId="9" fillId="0" borderId="1" xfId="0" applyNumberFormat="1" applyFont="1" applyFill="1" applyBorder="1" applyAlignment="1" applyProtection="1">
      <alignment horizontal="center" vertical="center"/>
      <protection locked="0"/>
    </xf>
    <xf numFmtId="0" fontId="9" fillId="0" borderId="1" xfId="0" applyNumberFormat="1" applyFont="1" applyFill="1" applyBorder="1" applyAlignment="1" applyProtection="1">
      <alignment horizontal="center"/>
      <protection locked="0"/>
    </xf>
    <xf numFmtId="0" fontId="50" fillId="0" borderId="0" xfId="0" applyNumberFormat="1" applyFont="1" applyFill="1" applyBorder="1" applyAlignment="1" applyProtection="1">
      <alignment horizontal="center" vertical="center"/>
    </xf>
    <xf numFmtId="0" fontId="29" fillId="0" borderId="0" xfId="0" applyNumberFormat="1" applyFont="1" applyFill="1" applyBorder="1" applyAlignment="1" applyProtection="1">
      <alignment horizontal="center" vertical="center"/>
    </xf>
    <xf numFmtId="7" fontId="46" fillId="0" borderId="0" xfId="0" applyNumberFormat="1" applyFont="1" applyFill="1" applyBorder="1" applyAlignment="1" applyProtection="1">
      <alignment horizontal="center" vertical="center"/>
    </xf>
    <xf numFmtId="0" fontId="49" fillId="0" borderId="0" xfId="0" applyNumberFormat="1" applyFont="1" applyFill="1" applyBorder="1" applyAlignment="1" applyProtection="1">
      <alignment horizontal="center" vertical="center"/>
    </xf>
    <xf numFmtId="0" fontId="53" fillId="0" borderId="0" xfId="0" applyNumberFormat="1" applyFont="1" applyFill="1" applyBorder="1" applyAlignment="1" applyProtection="1">
      <alignment horizontal="center" vertical="center"/>
    </xf>
    <xf numFmtId="0" fontId="26" fillId="0" borderId="0" xfId="0" applyNumberFormat="1" applyFont="1" applyFill="1" applyBorder="1" applyAlignment="1" applyProtection="1">
      <alignment horizontal="center" vertical="center"/>
    </xf>
    <xf numFmtId="0" fontId="46" fillId="0" borderId="0" xfId="0" applyNumberFormat="1" applyFont="1" applyFill="1" applyBorder="1" applyAlignment="1" applyProtection="1">
      <alignment horizontal="center" vertical="center"/>
    </xf>
    <xf numFmtId="165" fontId="23" fillId="0" borderId="2" xfId="0" applyNumberFormat="1" applyFont="1" applyFill="1" applyBorder="1" applyAlignment="1" applyProtection="1">
      <alignment horizontal="center" vertical="center"/>
      <protection locked="0"/>
    </xf>
    <xf numFmtId="165" fontId="23" fillId="0" borderId="3" xfId="0" applyNumberFormat="1" applyFont="1" applyFill="1" applyBorder="1" applyAlignment="1" applyProtection="1">
      <alignment horizontal="center" vertical="center"/>
      <protection locked="0"/>
    </xf>
    <xf numFmtId="165" fontId="23" fillId="0" borderId="1" xfId="0" applyNumberFormat="1" applyFont="1" applyFill="1" applyBorder="1" applyAlignment="1" applyProtection="1">
      <alignment horizontal="center" vertical="center"/>
      <protection locked="0"/>
    </xf>
    <xf numFmtId="7" fontId="46" fillId="4" borderId="0" xfId="0" applyNumberFormat="1" applyFont="1" applyFill="1" applyBorder="1" applyAlignment="1" applyProtection="1">
      <alignment horizontal="center" vertical="center"/>
    </xf>
    <xf numFmtId="0" fontId="46" fillId="4" borderId="0" xfId="0" applyNumberFormat="1" applyFont="1" applyFill="1" applyBorder="1" applyAlignment="1" applyProtection="1">
      <alignment horizontal="center" vertical="center"/>
    </xf>
    <xf numFmtId="0" fontId="64" fillId="0" borderId="0" xfId="0" applyFont="1" applyAlignment="1">
      <alignment wrapText="1"/>
    </xf>
    <xf numFmtId="0" fontId="28" fillId="0" borderId="0" xfId="0" applyFont="1"/>
    <xf numFmtId="0" fontId="28" fillId="2" borderId="0" xfId="0" applyFont="1" applyFill="1" applyAlignment="1">
      <alignment horizontal="center" vertical="center"/>
    </xf>
    <xf numFmtId="0" fontId="67" fillId="2" borderId="0" xfId="0" applyFont="1" applyFill="1" applyAlignment="1">
      <alignment horizontal="center" vertical="center"/>
    </xf>
    <xf numFmtId="0" fontId="18" fillId="2" borderId="0" xfId="0" applyFont="1" applyFill="1" applyAlignment="1">
      <alignment horizontal="right" vertical="center"/>
    </xf>
    <xf numFmtId="0" fontId="18" fillId="2" borderId="0" xfId="0" applyFont="1" applyFill="1" applyAlignment="1">
      <alignment horizontal="left" vertical="center"/>
    </xf>
    <xf numFmtId="164" fontId="28" fillId="2" borderId="0" xfId="0" applyNumberFormat="1" applyFont="1" applyFill="1" applyAlignment="1">
      <alignment horizontal="right" vertical="center"/>
    </xf>
    <xf numFmtId="165" fontId="17" fillId="0" borderId="1" xfId="0" applyNumberFormat="1" applyFont="1" applyFill="1" applyBorder="1" applyAlignment="1" applyProtection="1">
      <alignment horizontal="center" vertical="center"/>
      <protection locked="0"/>
    </xf>
    <xf numFmtId="164" fontId="30" fillId="0" borderId="1" xfId="0" applyNumberFormat="1" applyFont="1" applyFill="1" applyBorder="1" applyAlignment="1" applyProtection="1">
      <alignment horizontal="center" vertical="center"/>
      <protection locked="0"/>
    </xf>
    <xf numFmtId="164" fontId="30" fillId="0" borderId="1" xfId="0" applyNumberFormat="1" applyFont="1" applyFill="1" applyBorder="1" applyAlignment="1" applyProtection="1">
      <alignment horizontal="center"/>
      <protection locked="0"/>
    </xf>
    <xf numFmtId="2" fontId="23" fillId="0" borderId="3" xfId="0" applyNumberFormat="1" applyFont="1" applyFill="1" applyBorder="1" applyAlignment="1" applyProtection="1">
      <alignment horizontal="center" vertical="center"/>
      <protection locked="0"/>
    </xf>
    <xf numFmtId="2" fontId="26" fillId="0" borderId="0" xfId="0" applyNumberFormat="1" applyFont="1" applyAlignment="1">
      <alignment horizontal="center" vertical="center"/>
    </xf>
    <xf numFmtId="2" fontId="26" fillId="5" borderId="0" xfId="0" applyNumberFormat="1" applyFont="1" applyFill="1" applyAlignment="1">
      <alignment horizontal="center" vertical="center" wrapText="1"/>
    </xf>
    <xf numFmtId="2" fontId="26" fillId="5" borderId="0" xfId="0" applyNumberFormat="1" applyFont="1" applyFill="1" applyAlignment="1">
      <alignment horizontal="center" vertical="center"/>
    </xf>
    <xf numFmtId="2" fontId="24" fillId="5" borderId="0" xfId="0" applyNumberFormat="1" applyFont="1" applyFill="1" applyAlignment="1">
      <alignment horizontal="center" vertical="center"/>
    </xf>
    <xf numFmtId="7" fontId="49" fillId="0" borderId="0" xfId="0" applyNumberFormat="1" applyFont="1" applyFill="1" applyBorder="1" applyAlignment="1" applyProtection="1">
      <alignment horizontal="center" vertical="center"/>
    </xf>
    <xf numFmtId="0" fontId="63" fillId="0" borderId="0" xfId="0" applyNumberFormat="1" applyFont="1" applyFill="1" applyBorder="1" applyAlignment="1" applyProtection="1">
      <alignment horizontal="center" vertical="center" wrapText="1"/>
    </xf>
    <xf numFmtId="0" fontId="43" fillId="0" borderId="0" xfId="0" applyNumberFormat="1" applyFont="1" applyFill="1" applyBorder="1" applyAlignment="1" applyProtection="1">
      <alignment horizontal="center" vertical="center"/>
    </xf>
    <xf numFmtId="0" fontId="14" fillId="0" borderId="0" xfId="0" applyNumberFormat="1" applyFont="1" applyFill="1" applyBorder="1" applyAlignment="1" applyProtection="1">
      <alignment horizontal="center" vertical="center"/>
    </xf>
    <xf numFmtId="0" fontId="12" fillId="0" borderId="0" xfId="0" applyNumberFormat="1" applyFont="1" applyFill="1" applyBorder="1" applyAlignment="1" applyProtection="1">
      <alignment horizontal="center" vertical="center"/>
    </xf>
    <xf numFmtId="0" fontId="44" fillId="0" borderId="0" xfId="0" applyNumberFormat="1" applyFont="1" applyFill="1" applyBorder="1" applyAlignment="1" applyProtection="1">
      <alignment horizontal="center" vertical="center"/>
    </xf>
    <xf numFmtId="0" fontId="45" fillId="0" borderId="0" xfId="0" applyNumberFormat="1" applyFont="1" applyFill="1" applyBorder="1" applyAlignment="1" applyProtection="1">
      <alignment horizontal="center" vertical="center"/>
    </xf>
    <xf numFmtId="164" fontId="23" fillId="6" borderId="0" xfId="0" applyNumberFormat="1" applyFont="1" applyFill="1" applyBorder="1" applyAlignment="1" applyProtection="1">
      <alignment horizontal="center" vertical="center" wrapText="1"/>
    </xf>
    <xf numFmtId="4" fontId="44" fillId="6" borderId="0" xfId="0" applyNumberFormat="1" applyFont="1" applyFill="1" applyBorder="1" applyAlignment="1" applyProtection="1">
      <alignment horizontal="center" vertical="center"/>
    </xf>
    <xf numFmtId="164" fontId="29" fillId="6" borderId="0" xfId="0" applyNumberFormat="1" applyFont="1" applyFill="1" applyBorder="1" applyAlignment="1" applyProtection="1">
      <alignment horizontal="center" vertical="center" wrapText="1"/>
    </xf>
    <xf numFmtId="164" fontId="24" fillId="6" borderId="0" xfId="0" applyNumberFormat="1" applyFont="1" applyFill="1" applyBorder="1" applyAlignment="1" applyProtection="1">
      <alignment horizontal="center" vertical="center" wrapText="1"/>
    </xf>
    <xf numFmtId="0" fontId="26" fillId="0" borderId="0" xfId="0" applyNumberFormat="1" applyFont="1" applyFill="1" applyBorder="1" applyAlignment="1" applyProtection="1">
      <alignment horizontal="center" vertical="center" wrapText="1"/>
    </xf>
    <xf numFmtId="14" fontId="46" fillId="6" borderId="0" xfId="0" applyNumberFormat="1" applyFont="1" applyFill="1" applyBorder="1" applyAlignment="1" applyProtection="1">
      <alignment horizontal="center" vertical="center"/>
    </xf>
    <xf numFmtId="0" fontId="46" fillId="6" borderId="0" xfId="0" applyNumberFormat="1" applyFont="1" applyFill="1" applyBorder="1" applyAlignment="1" applyProtection="1">
      <alignment horizontal="center" vertical="center" wrapText="1"/>
    </xf>
    <xf numFmtId="7" fontId="46" fillId="6" borderId="0" xfId="0" applyNumberFormat="1" applyFont="1" applyFill="1" applyBorder="1" applyAlignment="1" applyProtection="1">
      <alignment horizontal="center" vertical="center"/>
    </xf>
    <xf numFmtId="165" fontId="26" fillId="6" borderId="0" xfId="0" applyNumberFormat="1" applyFont="1" applyFill="1" applyBorder="1" applyAlignment="1" applyProtection="1">
      <alignment horizontal="center" vertical="center"/>
    </xf>
    <xf numFmtId="168" fontId="46" fillId="6" borderId="0" xfId="0" applyNumberFormat="1" applyFont="1" applyFill="1" applyBorder="1" applyAlignment="1" applyProtection="1">
      <alignment horizontal="center" vertical="center"/>
    </xf>
    <xf numFmtId="14" fontId="26" fillId="6" borderId="0" xfId="0" applyNumberFormat="1" applyFont="1" applyFill="1" applyBorder="1" applyAlignment="1" applyProtection="1">
      <alignment horizontal="center" vertical="center"/>
    </xf>
    <xf numFmtId="0" fontId="26" fillId="6" borderId="0" xfId="0" applyNumberFormat="1" applyFont="1" applyFill="1" applyBorder="1" applyAlignment="1" applyProtection="1">
      <alignment horizontal="center" vertical="center"/>
    </xf>
    <xf numFmtId="4" fontId="26" fillId="6" borderId="0" xfId="0" applyNumberFormat="1" applyFont="1" applyFill="1" applyBorder="1" applyAlignment="1" applyProtection="1">
      <alignment horizontal="center" vertical="center"/>
    </xf>
    <xf numFmtId="7" fontId="26" fillId="6" borderId="0" xfId="0" applyNumberFormat="1" applyFont="1" applyFill="1" applyBorder="1" applyAlignment="1" applyProtection="1">
      <alignment horizontal="center" vertical="center"/>
    </xf>
    <xf numFmtId="166" fontId="24" fillId="6" borderId="0" xfId="0" applyNumberFormat="1" applyFont="1" applyFill="1" applyBorder="1" applyAlignment="1" applyProtection="1">
      <alignment horizontal="center" vertical="center"/>
    </xf>
    <xf numFmtId="168" fontId="24" fillId="6" borderId="0" xfId="0" applyNumberFormat="1" applyFont="1" applyFill="1" applyBorder="1" applyAlignment="1" applyProtection="1">
      <alignment horizontal="center" vertical="center"/>
    </xf>
    <xf numFmtId="165" fontId="24" fillId="6" borderId="0" xfId="0" applyNumberFormat="1" applyFont="1" applyFill="1" applyBorder="1" applyAlignment="1" applyProtection="1">
      <alignment horizontal="center" vertical="center"/>
    </xf>
    <xf numFmtId="0" fontId="43" fillId="6" borderId="0" xfId="0" applyNumberFormat="1" applyFont="1" applyFill="1" applyBorder="1" applyAlignment="1" applyProtection="1">
      <alignment horizontal="center" vertical="center"/>
    </xf>
    <xf numFmtId="0" fontId="47" fillId="6" borderId="0" xfId="0" applyNumberFormat="1" applyFont="1" applyFill="1" applyBorder="1" applyAlignment="1" applyProtection="1">
      <alignment horizontal="center" vertical="center"/>
    </xf>
    <xf numFmtId="14" fontId="46" fillId="4" borderId="0" xfId="0" applyNumberFormat="1" applyFont="1" applyFill="1" applyBorder="1" applyAlignment="1" applyProtection="1">
      <alignment horizontal="center" vertical="center"/>
    </xf>
    <xf numFmtId="7" fontId="44" fillId="4" borderId="0" xfId="0" applyNumberFormat="1" applyFont="1" applyFill="1" applyBorder="1" applyAlignment="1" applyProtection="1">
      <alignment horizontal="center" vertical="center"/>
    </xf>
    <xf numFmtId="0" fontId="43" fillId="4" borderId="0" xfId="0" applyNumberFormat="1" applyFont="1" applyFill="1" applyBorder="1" applyAlignment="1" applyProtection="1">
      <alignment horizontal="center" vertical="center"/>
    </xf>
    <xf numFmtId="0" fontId="28" fillId="4" borderId="0" xfId="0" applyNumberFormat="1" applyFont="1" applyFill="1" applyBorder="1" applyAlignment="1" applyProtection="1">
      <alignment horizontal="center" vertical="center"/>
    </xf>
    <xf numFmtId="7" fontId="20" fillId="4" borderId="0" xfId="0" applyNumberFormat="1" applyFont="1" applyFill="1" applyBorder="1" applyAlignment="1" applyProtection="1">
      <alignment horizontal="center" vertical="center"/>
    </xf>
    <xf numFmtId="7" fontId="26" fillId="4" borderId="0" xfId="0" applyNumberFormat="1" applyFont="1" applyFill="1" applyBorder="1" applyAlignment="1" applyProtection="1">
      <alignment horizontal="center" vertical="center"/>
    </xf>
    <xf numFmtId="0" fontId="60" fillId="4" borderId="0" xfId="0" applyNumberFormat="1" applyFont="1" applyFill="1" applyBorder="1" applyAlignment="1" applyProtection="1">
      <alignment horizontal="center" vertical="center"/>
    </xf>
    <xf numFmtId="165" fontId="24" fillId="4" borderId="0" xfId="0" applyNumberFormat="1" applyFont="1" applyFill="1" applyBorder="1" applyAlignment="1" applyProtection="1">
      <alignment horizontal="center" vertical="center"/>
    </xf>
    <xf numFmtId="164" fontId="23" fillId="4" borderId="0" xfId="0" applyNumberFormat="1" applyFont="1" applyFill="1" applyBorder="1" applyAlignment="1" applyProtection="1">
      <alignment horizontal="center" vertical="center"/>
    </xf>
    <xf numFmtId="0" fontId="50" fillId="4" borderId="0" xfId="0" applyNumberFormat="1" applyFont="1" applyFill="1" applyBorder="1" applyAlignment="1" applyProtection="1">
      <alignment horizontal="center" vertical="center"/>
    </xf>
    <xf numFmtId="164" fontId="24" fillId="4" borderId="0" xfId="0" applyNumberFormat="1" applyFont="1" applyFill="1" applyBorder="1" applyAlignment="1" applyProtection="1">
      <alignment horizontal="center" vertical="center"/>
    </xf>
    <xf numFmtId="0" fontId="43" fillId="7" borderId="0" xfId="0" applyNumberFormat="1" applyFont="1" applyFill="1" applyBorder="1" applyAlignment="1" applyProtection="1">
      <alignment horizontal="center" vertical="center"/>
    </xf>
    <xf numFmtId="7" fontId="44" fillId="7" borderId="0" xfId="0" applyNumberFormat="1" applyFont="1" applyFill="1" applyBorder="1" applyAlignment="1" applyProtection="1">
      <alignment horizontal="center" vertical="center"/>
    </xf>
    <xf numFmtId="0" fontId="29" fillId="7" borderId="0" xfId="0" applyNumberFormat="1" applyFont="1" applyFill="1" applyBorder="1" applyAlignment="1" applyProtection="1">
      <alignment horizontal="center" vertical="center"/>
    </xf>
    <xf numFmtId="0" fontId="29" fillId="7" borderId="0" xfId="0" applyNumberFormat="1" applyFont="1" applyFill="1" applyBorder="1" applyAlignment="1" applyProtection="1">
      <alignment horizontal="center" vertical="center" wrapText="1"/>
    </xf>
    <xf numFmtId="0" fontId="49" fillId="7" borderId="0" xfId="0" applyNumberFormat="1" applyFont="1" applyFill="1" applyBorder="1" applyAlignment="1" applyProtection="1">
      <alignment horizontal="center" vertical="center"/>
    </xf>
    <xf numFmtId="165" fontId="24" fillId="7" borderId="0" xfId="0" applyNumberFormat="1" applyFont="1" applyFill="1" applyBorder="1" applyAlignment="1" applyProtection="1">
      <alignment horizontal="center" vertical="center"/>
    </xf>
    <xf numFmtId="166" fontId="24" fillId="7" borderId="0" xfId="0" applyNumberFormat="1" applyFont="1" applyFill="1" applyBorder="1" applyAlignment="1" applyProtection="1">
      <alignment horizontal="center" vertical="center"/>
    </xf>
    <xf numFmtId="0" fontId="26" fillId="7" borderId="0" xfId="0" applyNumberFormat="1" applyFont="1" applyFill="1" applyBorder="1" applyAlignment="1" applyProtection="1">
      <alignment horizontal="center" vertical="center"/>
    </xf>
    <xf numFmtId="0" fontId="28" fillId="7" borderId="0" xfId="0" applyNumberFormat="1" applyFont="1" applyFill="1" applyBorder="1" applyAlignment="1" applyProtection="1">
      <alignment horizontal="center" vertical="center"/>
    </xf>
    <xf numFmtId="7" fontId="26" fillId="7" borderId="0" xfId="0" applyNumberFormat="1" applyFont="1" applyFill="1" applyBorder="1" applyAlignment="1" applyProtection="1">
      <alignment horizontal="center" vertical="center"/>
    </xf>
    <xf numFmtId="165" fontId="24" fillId="7" borderId="0" xfId="0" applyNumberFormat="1" applyFont="1" applyFill="1" applyBorder="1" applyAlignment="1" applyProtection="1">
      <alignment horizontal="center" vertical="center" wrapText="1"/>
    </xf>
    <xf numFmtId="14" fontId="26" fillId="7" borderId="0" xfId="0" applyNumberFormat="1" applyFont="1" applyFill="1" applyBorder="1" applyAlignment="1" applyProtection="1">
      <alignment horizontal="center" vertical="center"/>
    </xf>
    <xf numFmtId="0" fontId="46" fillId="7" borderId="0" xfId="0" applyNumberFormat="1" applyFont="1" applyFill="1" applyBorder="1" applyAlignment="1" applyProtection="1">
      <alignment horizontal="center" vertical="center"/>
    </xf>
    <xf numFmtId="7" fontId="46" fillId="7" borderId="0" xfId="0" applyNumberFormat="1" applyFont="1" applyFill="1" applyBorder="1" applyAlignment="1" applyProtection="1">
      <alignment horizontal="center" vertical="center"/>
    </xf>
    <xf numFmtId="0" fontId="48" fillId="0" borderId="0" xfId="0" applyNumberFormat="1" applyFont="1" applyFill="1" applyBorder="1" applyAlignment="1" applyProtection="1">
      <alignment horizontal="center" vertical="center"/>
    </xf>
    <xf numFmtId="0" fontId="24" fillId="0" borderId="0" xfId="0" applyNumberFormat="1" applyFont="1" applyFill="1" applyBorder="1" applyAlignment="1" applyProtection="1">
      <alignment horizontal="center" vertical="center"/>
    </xf>
    <xf numFmtId="0" fontId="51" fillId="0" borderId="0" xfId="0" applyNumberFormat="1" applyFont="1" applyFill="1" applyBorder="1" applyAlignment="1" applyProtection="1">
      <alignment horizontal="center" vertical="center"/>
    </xf>
    <xf numFmtId="0" fontId="52" fillId="0" borderId="0" xfId="0" applyNumberFormat="1" applyFont="1" applyFill="1" applyBorder="1" applyAlignment="1" applyProtection="1">
      <alignment horizontal="center" vertical="center" wrapText="1"/>
    </xf>
    <xf numFmtId="0" fontId="50" fillId="0" borderId="0" xfId="0" applyNumberFormat="1" applyFont="1" applyFill="1" applyBorder="1" applyAlignment="1" applyProtection="1">
      <alignment horizontal="center" vertical="center" wrapText="1"/>
    </xf>
    <xf numFmtId="0" fontId="54" fillId="0" borderId="0" xfId="0" applyNumberFormat="1" applyFont="1" applyFill="1" applyBorder="1" applyAlignment="1" applyProtection="1">
      <alignment horizontal="center" vertical="center"/>
    </xf>
    <xf numFmtId="0" fontId="55" fillId="0" borderId="0" xfId="0" applyNumberFormat="1" applyFont="1" applyFill="1" applyBorder="1" applyAlignment="1" applyProtection="1">
      <alignment horizontal="center" vertical="center"/>
    </xf>
    <xf numFmtId="0" fontId="56" fillId="0" borderId="0" xfId="0" applyNumberFormat="1" applyFont="1" applyFill="1" applyBorder="1" applyAlignment="1" applyProtection="1">
      <alignment horizontal="center" vertical="center" wrapText="1"/>
    </xf>
    <xf numFmtId="14" fontId="26" fillId="0" borderId="0" xfId="0" applyNumberFormat="1" applyFont="1" applyFill="1" applyBorder="1" applyAlignment="1" applyProtection="1">
      <alignment horizontal="center" vertical="center" wrapText="1"/>
    </xf>
    <xf numFmtId="0" fontId="29" fillId="0" borderId="0" xfId="0" applyNumberFormat="1" applyFont="1" applyFill="1" applyBorder="1" applyAlignment="1" applyProtection="1">
      <alignment horizontal="center" vertical="center" wrapText="1"/>
    </xf>
    <xf numFmtId="0" fontId="57" fillId="0" borderId="0" xfId="0" applyNumberFormat="1" applyFont="1" applyFill="1" applyBorder="1" applyAlignment="1" applyProtection="1">
      <alignment horizontal="center" vertical="center" wrapText="1"/>
    </xf>
    <xf numFmtId="0" fontId="58" fillId="0" borderId="0" xfId="0" applyNumberFormat="1" applyFont="1" applyFill="1" applyBorder="1" applyAlignment="1" applyProtection="1">
      <alignment horizontal="center" vertical="center"/>
    </xf>
    <xf numFmtId="7" fontId="26" fillId="0" borderId="0" xfId="0" applyNumberFormat="1" applyFont="1" applyFill="1" applyBorder="1" applyAlignment="1" applyProtection="1">
      <alignment horizontal="center" vertical="center"/>
    </xf>
    <xf numFmtId="14" fontId="46" fillId="0" borderId="0" xfId="0" applyNumberFormat="1" applyFont="1" applyFill="1" applyBorder="1" applyAlignment="1" applyProtection="1">
      <alignment horizontal="center" vertical="center"/>
    </xf>
    <xf numFmtId="14" fontId="26" fillId="0" borderId="0" xfId="0" applyNumberFormat="1" applyFont="1" applyFill="1" applyBorder="1" applyAlignment="1" applyProtection="1">
      <alignment horizontal="center" vertical="center"/>
    </xf>
    <xf numFmtId="7" fontId="44" fillId="0" borderId="0" xfId="0" applyNumberFormat="1" applyFont="1" applyFill="1" applyBorder="1" applyAlignment="1" applyProtection="1">
      <alignment horizontal="center" vertical="center"/>
    </xf>
    <xf numFmtId="14" fontId="16" fillId="0" borderId="0" xfId="0" applyNumberFormat="1" applyFont="1" applyFill="1" applyBorder="1" applyAlignment="1" applyProtection="1">
      <alignment horizontal="center" vertical="center"/>
    </xf>
    <xf numFmtId="0" fontId="16" fillId="0" borderId="0" xfId="0" applyNumberFormat="1" applyFont="1" applyFill="1" applyBorder="1" applyAlignment="1" applyProtection="1">
      <alignment horizontal="center" vertical="center"/>
    </xf>
    <xf numFmtId="14" fontId="59" fillId="0" borderId="0" xfId="0" applyNumberFormat="1" applyFont="1" applyFill="1" applyBorder="1" applyAlignment="1" applyProtection="1">
      <alignment horizontal="center" vertical="center"/>
    </xf>
    <xf numFmtId="4" fontId="46" fillId="0" borderId="0" xfId="0" applyNumberFormat="1" applyFont="1" applyFill="1" applyBorder="1" applyAlignment="1" applyProtection="1">
      <alignment horizontal="center" vertical="center"/>
    </xf>
    <xf numFmtId="0" fontId="46" fillId="0" borderId="0" xfId="0" applyNumberFormat="1" applyFont="1" applyFill="1" applyBorder="1" applyAlignment="1" applyProtection="1">
      <alignment horizontal="center" vertical="center" wrapText="1"/>
    </xf>
    <xf numFmtId="166" fontId="26" fillId="6" borderId="0" xfId="0" applyNumberFormat="1" applyFont="1" applyFill="1" applyBorder="1" applyAlignment="1" applyProtection="1">
      <alignment horizontal="center" vertical="center"/>
    </xf>
    <xf numFmtId="168" fontId="26" fillId="6" borderId="0" xfId="0" applyNumberFormat="1" applyFont="1" applyFill="1" applyBorder="1" applyAlignment="1" applyProtection="1">
      <alignment horizontal="center" vertical="center"/>
    </xf>
    <xf numFmtId="165" fontId="29" fillId="7" borderId="0" xfId="0" applyNumberFormat="1" applyFont="1" applyFill="1" applyBorder="1" applyAlignment="1" applyProtection="1">
      <alignment horizontal="center" vertical="center"/>
    </xf>
    <xf numFmtId="166" fontId="29" fillId="7" borderId="0" xfId="0" applyNumberFormat="1" applyFont="1" applyFill="1" applyBorder="1" applyAlignment="1" applyProtection="1">
      <alignment horizontal="center" vertical="center"/>
    </xf>
    <xf numFmtId="166" fontId="26" fillId="7" borderId="0" xfId="0" applyNumberFormat="1" applyFont="1" applyFill="1" applyBorder="1" applyAlignment="1" applyProtection="1">
      <alignment horizontal="center" vertical="center"/>
    </xf>
    <xf numFmtId="165" fontId="26" fillId="7" borderId="0" xfId="0" applyNumberFormat="1" applyFont="1" applyFill="1" applyBorder="1" applyAlignment="1" applyProtection="1">
      <alignment horizontal="center" vertical="center"/>
    </xf>
    <xf numFmtId="2" fontId="23" fillId="0" borderId="1" xfId="0" applyNumberFormat="1" applyFont="1" applyFill="1" applyBorder="1" applyAlignment="1" applyProtection="1">
      <alignment horizontal="center" vertical="center"/>
      <protection locked="0"/>
    </xf>
    <xf numFmtId="0" fontId="0" fillId="0" borderId="0" xfId="0" applyProtection="1"/>
    <xf numFmtId="164" fontId="72" fillId="0" borderId="0" xfId="0" applyNumberFormat="1" applyFont="1" applyAlignment="1" applyProtection="1">
      <alignment horizontal="center" vertical="center"/>
    </xf>
    <xf numFmtId="2" fontId="26" fillId="8" borderId="0" xfId="0" applyNumberFormat="1" applyFont="1" applyFill="1" applyAlignment="1" applyProtection="1">
      <alignment horizontal="center" vertical="center"/>
    </xf>
    <xf numFmtId="2" fontId="26" fillId="8" borderId="0" xfId="0" applyNumberFormat="1" applyFont="1" applyFill="1" applyBorder="1" applyAlignment="1" applyProtection="1">
      <alignment horizontal="center" vertical="center"/>
    </xf>
    <xf numFmtId="2" fontId="24" fillId="8" borderId="0" xfId="0" applyNumberFormat="1" applyFont="1" applyFill="1" applyBorder="1" applyAlignment="1" applyProtection="1">
      <alignment horizontal="center" vertical="center"/>
    </xf>
    <xf numFmtId="2" fontId="26" fillId="8" borderId="0" xfId="0" applyNumberFormat="1" applyFont="1" applyFill="1" applyBorder="1" applyAlignment="1" applyProtection="1">
      <alignment horizontal="center" vertical="center" wrapText="1"/>
    </xf>
    <xf numFmtId="2" fontId="24" fillId="8" borderId="0" xfId="0" applyNumberFormat="1" applyFont="1" applyFill="1" applyAlignment="1" applyProtection="1">
      <alignment horizontal="center" vertical="center"/>
    </xf>
    <xf numFmtId="164" fontId="0" fillId="0" borderId="0" xfId="0" applyNumberFormat="1" applyProtection="1"/>
    <xf numFmtId="164" fontId="2" fillId="8" borderId="0" xfId="0" applyNumberFormat="1" applyFont="1" applyFill="1" applyBorder="1" applyAlignment="1" applyProtection="1">
      <alignment horizontal="right"/>
    </xf>
    <xf numFmtId="164" fontId="2" fillId="8" borderId="0" xfId="0" applyNumberFormat="1" applyFont="1" applyFill="1" applyBorder="1" applyAlignment="1" applyProtection="1">
      <alignment horizontal="center"/>
    </xf>
    <xf numFmtId="164" fontId="8" fillId="8" borderId="0" xfId="0" applyNumberFormat="1" applyFont="1" applyFill="1" applyBorder="1" applyAlignment="1" applyProtection="1">
      <alignment horizontal="center" vertical="center"/>
    </xf>
    <xf numFmtId="164" fontId="4" fillId="8" borderId="0" xfId="0" applyNumberFormat="1" applyFont="1" applyFill="1" applyBorder="1" applyAlignment="1" applyProtection="1">
      <alignment horizontal="center" vertical="center"/>
    </xf>
    <xf numFmtId="164" fontId="4" fillId="8" borderId="0" xfId="0" applyNumberFormat="1" applyFont="1" applyFill="1" applyBorder="1" applyAlignment="1" applyProtection="1">
      <alignment horizontal="center" vertical="center" wrapText="1"/>
    </xf>
    <xf numFmtId="164" fontId="0" fillId="0" borderId="0" xfId="0" applyNumberFormat="1" applyAlignment="1" applyProtection="1">
      <alignment horizontal="center" vertical="center" wrapText="1"/>
    </xf>
    <xf numFmtId="164" fontId="13" fillId="8" borderId="0" xfId="0" applyNumberFormat="1" applyFont="1" applyFill="1" applyBorder="1" applyAlignment="1" applyProtection="1">
      <alignment horizontal="center"/>
    </xf>
    <xf numFmtId="164" fontId="26" fillId="8" borderId="0" xfId="0" applyNumberFormat="1" applyFont="1" applyFill="1" applyAlignment="1" applyProtection="1">
      <alignment horizontal="center" vertical="center" wrapText="1"/>
    </xf>
    <xf numFmtId="164" fontId="24" fillId="8" borderId="0" xfId="0" applyNumberFormat="1" applyFont="1" applyFill="1" applyAlignment="1" applyProtection="1">
      <alignment horizontal="center" vertical="center"/>
    </xf>
    <xf numFmtId="164" fontId="13" fillId="8" borderId="0" xfId="0" applyNumberFormat="1" applyFont="1" applyFill="1" applyBorder="1" applyAlignment="1" applyProtection="1">
      <alignment horizontal="center" vertical="center"/>
    </xf>
    <xf numFmtId="164" fontId="26" fillId="8" borderId="0" xfId="0" applyNumberFormat="1" applyFont="1" applyFill="1" applyAlignment="1" applyProtection="1">
      <alignment horizontal="center" vertical="center"/>
    </xf>
    <xf numFmtId="173" fontId="24" fillId="8" borderId="0" xfId="0" applyNumberFormat="1" applyFont="1" applyFill="1" applyAlignment="1" applyProtection="1">
      <alignment horizontal="center" vertical="center"/>
    </xf>
    <xf numFmtId="164" fontId="26" fillId="0" borderId="0" xfId="0" applyNumberFormat="1" applyFont="1" applyAlignment="1" applyProtection="1">
      <alignment horizontal="center" vertical="center"/>
    </xf>
    <xf numFmtId="164" fontId="26" fillId="0" borderId="0" xfId="0" applyNumberFormat="1" applyFont="1" applyProtection="1"/>
    <xf numFmtId="164" fontId="23" fillId="0" borderId="1" xfId="0" applyNumberFormat="1" applyFont="1" applyFill="1" applyBorder="1" applyAlignment="1" applyProtection="1">
      <alignment horizontal="center" vertical="center"/>
      <protection locked="0"/>
    </xf>
    <xf numFmtId="2" fontId="23" fillId="0" borderId="3" xfId="0" applyNumberFormat="1" applyFont="1" applyBorder="1" applyAlignment="1" applyProtection="1">
      <alignment horizontal="center" vertical="center"/>
      <protection locked="0"/>
    </xf>
    <xf numFmtId="173" fontId="23" fillId="0" borderId="1" xfId="0" applyNumberFormat="1" applyFont="1" applyBorder="1" applyAlignment="1" applyProtection="1">
      <alignment horizontal="center" vertical="center"/>
      <protection locked="0"/>
    </xf>
    <xf numFmtId="0" fontId="27" fillId="0" borderId="0" xfId="0" applyNumberFormat="1" applyFont="1" applyFill="1" applyBorder="1" applyAlignment="1" applyProtection="1">
      <alignment horizontal="center" vertical="center"/>
    </xf>
    <xf numFmtId="14" fontId="16" fillId="9" borderId="0" xfId="0" applyNumberFormat="1" applyFont="1" applyFill="1" applyBorder="1" applyAlignment="1" applyProtection="1">
      <alignment horizontal="center" vertical="center"/>
    </xf>
    <xf numFmtId="0" fontId="16" fillId="9" borderId="0" xfId="0" applyNumberFormat="1" applyFont="1" applyFill="1" applyBorder="1" applyAlignment="1" applyProtection="1">
      <alignment horizontal="center" vertical="center"/>
    </xf>
    <xf numFmtId="0" fontId="68" fillId="9" borderId="0" xfId="0" applyNumberFormat="1" applyFont="1" applyFill="1" applyBorder="1" applyAlignment="1" applyProtection="1">
      <alignment horizontal="center" vertical="center" wrapText="1"/>
    </xf>
    <xf numFmtId="0" fontId="27" fillId="9" borderId="0" xfId="0" applyNumberFormat="1" applyFont="1" applyFill="1" applyBorder="1" applyAlignment="1" applyProtection="1">
      <alignment horizontal="center" vertical="center"/>
    </xf>
    <xf numFmtId="0" fontId="20" fillId="10" borderId="0" xfId="0" applyNumberFormat="1" applyFont="1" applyFill="1" applyBorder="1" applyAlignment="1" applyProtection="1">
      <alignment horizontal="center" vertical="center" wrapText="1"/>
    </xf>
    <xf numFmtId="0" fontId="20" fillId="10" borderId="0" xfId="0" applyNumberFormat="1" applyFont="1" applyFill="1" applyBorder="1" applyAlignment="1" applyProtection="1">
      <alignment horizontal="center" vertical="center"/>
    </xf>
    <xf numFmtId="166" fontId="71" fillId="11" borderId="0" xfId="0" applyNumberFormat="1" applyFont="1" applyFill="1" applyBorder="1" applyAlignment="1" applyProtection="1">
      <alignment horizontal="center" vertical="center"/>
    </xf>
    <xf numFmtId="168" fontId="71" fillId="11" borderId="0" xfId="0" applyNumberFormat="1" applyFont="1" applyFill="1" applyBorder="1" applyAlignment="1" applyProtection="1">
      <alignment horizontal="center" vertical="center"/>
    </xf>
    <xf numFmtId="165" fontId="71" fillId="11" borderId="0" xfId="0" applyNumberFormat="1" applyFont="1" applyFill="1" applyBorder="1" applyAlignment="1" applyProtection="1">
      <alignment horizontal="center" vertical="center"/>
    </xf>
    <xf numFmtId="7" fontId="22" fillId="9" borderId="0" xfId="0" applyNumberFormat="1" applyFont="1" applyFill="1" applyBorder="1" applyAlignment="1" applyProtection="1">
      <alignment horizontal="center" vertical="center"/>
    </xf>
    <xf numFmtId="165" fontId="18" fillId="10" borderId="0" xfId="0" applyNumberFormat="1" applyFont="1" applyFill="1" applyBorder="1" applyAlignment="1" applyProtection="1">
      <alignment horizontal="center" vertical="center"/>
    </xf>
    <xf numFmtId="164" fontId="71" fillId="11" borderId="0" xfId="0" applyNumberFormat="1" applyFont="1" applyFill="1" applyBorder="1" applyAlignment="1" applyProtection="1">
      <alignment horizontal="center" vertical="center" wrapText="1"/>
    </xf>
    <xf numFmtId="0" fontId="54" fillId="11" borderId="0" xfId="0" applyNumberFormat="1" applyFont="1" applyFill="1" applyBorder="1" applyAlignment="1" applyProtection="1">
      <alignment horizontal="center" vertical="center"/>
    </xf>
    <xf numFmtId="0" fontId="71" fillId="11" borderId="0" xfId="0" applyNumberFormat="1" applyFont="1" applyFill="1" applyBorder="1" applyAlignment="1" applyProtection="1">
      <alignment horizontal="center" vertical="center"/>
    </xf>
    <xf numFmtId="0" fontId="23" fillId="9" borderId="0" xfId="0" applyNumberFormat="1" applyFont="1" applyFill="1" applyBorder="1" applyAlignment="1" applyProtection="1">
      <alignment horizontal="center" vertical="center"/>
    </xf>
    <xf numFmtId="164" fontId="24" fillId="9" borderId="0" xfId="0" applyNumberFormat="1" applyFont="1" applyFill="1" applyBorder="1" applyAlignment="1" applyProtection="1">
      <alignment horizontal="center" vertical="center"/>
    </xf>
    <xf numFmtId="0" fontId="29" fillId="9" borderId="0" xfId="0" applyNumberFormat="1" applyFont="1" applyFill="1" applyBorder="1" applyAlignment="1" applyProtection="1">
      <alignment horizontal="center" vertical="center" wrapText="1"/>
    </xf>
    <xf numFmtId="0" fontId="18" fillId="10" borderId="0" xfId="0" applyNumberFormat="1" applyFont="1" applyFill="1" applyBorder="1" applyAlignment="1" applyProtection="1">
      <alignment horizontal="center" vertical="center"/>
    </xf>
    <xf numFmtId="0" fontId="20" fillId="9" borderId="0" xfId="0" applyNumberFormat="1" applyFont="1" applyFill="1" applyBorder="1" applyAlignment="1" applyProtection="1">
      <alignment horizontal="center" vertical="center"/>
    </xf>
    <xf numFmtId="0" fontId="20" fillId="9" borderId="0" xfId="0" applyNumberFormat="1" applyFont="1" applyFill="1" applyBorder="1" applyAlignment="1" applyProtection="1">
      <alignment horizontal="center" vertical="center" wrapText="1"/>
    </xf>
    <xf numFmtId="0" fontId="26" fillId="9" borderId="0" xfId="0" applyNumberFormat="1" applyFont="1" applyFill="1" applyBorder="1" applyAlignment="1" applyProtection="1">
      <alignment horizontal="center" vertical="center" wrapText="1"/>
    </xf>
    <xf numFmtId="14" fontId="46" fillId="11" borderId="0" xfId="0" applyNumberFormat="1" applyFont="1" applyFill="1" applyBorder="1" applyAlignment="1" applyProtection="1">
      <alignment horizontal="center" vertical="center"/>
    </xf>
    <xf numFmtId="0" fontId="46" fillId="11" borderId="0" xfId="0" applyNumberFormat="1" applyFont="1" applyFill="1" applyBorder="1" applyAlignment="1" applyProtection="1">
      <alignment horizontal="center" vertical="center"/>
    </xf>
    <xf numFmtId="0" fontId="22" fillId="11" borderId="0" xfId="0" applyNumberFormat="1" applyFont="1" applyFill="1" applyBorder="1" applyAlignment="1" applyProtection="1">
      <alignment horizontal="center" vertical="center"/>
    </xf>
    <xf numFmtId="7" fontId="46" fillId="11" borderId="0" xfId="0" applyNumberFormat="1" applyFont="1" applyFill="1" applyBorder="1" applyAlignment="1" applyProtection="1">
      <alignment horizontal="center" vertical="center"/>
    </xf>
    <xf numFmtId="0" fontId="61" fillId="11" borderId="0" xfId="0" applyNumberFormat="1" applyFont="1" applyFill="1" applyBorder="1" applyAlignment="1" applyProtection="1">
      <alignment horizontal="center" vertical="center" wrapText="1"/>
    </xf>
    <xf numFmtId="0" fontId="74" fillId="0" borderId="0" xfId="0" applyFont="1" applyAlignment="1" applyProtection="1">
      <alignment horizontal="center" vertical="center"/>
    </xf>
    <xf numFmtId="0" fontId="15" fillId="0" borderId="0" xfId="0" applyFont="1" applyAlignment="1" applyProtection="1">
      <alignment horizontal="center" vertical="center"/>
    </xf>
    <xf numFmtId="14" fontId="26" fillId="11" borderId="0" xfId="0" applyNumberFormat="1" applyFont="1" applyFill="1" applyBorder="1" applyAlignment="1" applyProtection="1">
      <alignment horizontal="center" vertical="center"/>
    </xf>
    <xf numFmtId="0" fontId="26" fillId="11" borderId="0" xfId="0" applyNumberFormat="1" applyFont="1" applyFill="1" applyBorder="1" applyAlignment="1" applyProtection="1">
      <alignment horizontal="center" vertical="center"/>
    </xf>
    <xf numFmtId="7" fontId="26" fillId="11" borderId="0" xfId="0" applyNumberFormat="1" applyFont="1" applyFill="1" applyBorder="1" applyAlignment="1" applyProtection="1">
      <alignment horizontal="center" vertical="center"/>
    </xf>
    <xf numFmtId="0" fontId="25" fillId="0" borderId="0" xfId="0" applyNumberFormat="1" applyFont="1" applyFill="1" applyBorder="1" applyAlignment="1" applyProtection="1">
      <alignment horizontal="center" vertical="center" wrapText="1"/>
    </xf>
    <xf numFmtId="0" fontId="75" fillId="0" borderId="0" xfId="0" applyNumberFormat="1" applyFont="1" applyFill="1" applyBorder="1" applyAlignment="1" applyProtection="1">
      <alignment horizontal="center" vertical="center"/>
    </xf>
    <xf numFmtId="0" fontId="25" fillId="0" borderId="0" xfId="0" applyNumberFormat="1" applyFont="1" applyFill="1" applyBorder="1" applyAlignment="1" applyProtection="1">
      <alignment horizontal="center" vertical="center"/>
    </xf>
    <xf numFmtId="0" fontId="76" fillId="11" borderId="0" xfId="0" applyNumberFormat="1" applyFont="1" applyFill="1" applyBorder="1" applyAlignment="1" applyProtection="1">
      <alignment horizontal="center" vertical="center"/>
    </xf>
    <xf numFmtId="0" fontId="50" fillId="11" borderId="0" xfId="0" applyNumberFormat="1" applyFont="1" applyFill="1" applyBorder="1" applyAlignment="1" applyProtection="1">
      <alignment horizontal="center" vertical="center"/>
    </xf>
    <xf numFmtId="0" fontId="51" fillId="11" borderId="0" xfId="0" applyNumberFormat="1" applyFont="1" applyFill="1" applyBorder="1" applyAlignment="1" applyProtection="1">
      <alignment horizontal="center" vertical="center"/>
    </xf>
    <xf numFmtId="0" fontId="52" fillId="11" borderId="0" xfId="0" applyNumberFormat="1" applyFont="1" applyFill="1" applyBorder="1" applyAlignment="1" applyProtection="1">
      <alignment horizontal="center" vertical="center" wrapText="1"/>
    </xf>
    <xf numFmtId="0" fontId="53" fillId="11" borderId="0" xfId="0" applyNumberFormat="1" applyFont="1" applyFill="1" applyBorder="1" applyAlignment="1" applyProtection="1">
      <alignment horizontal="center" vertical="center"/>
    </xf>
    <xf numFmtId="0" fontId="50" fillId="11" borderId="0" xfId="0" applyNumberFormat="1" applyFont="1" applyFill="1" applyBorder="1" applyAlignment="1" applyProtection="1">
      <alignment horizontal="center" vertical="center" wrapText="1"/>
    </xf>
    <xf numFmtId="0" fontId="55" fillId="11" borderId="0" xfId="0" applyNumberFormat="1" applyFont="1" applyFill="1" applyBorder="1" applyAlignment="1" applyProtection="1">
      <alignment horizontal="center" vertical="center"/>
    </xf>
    <xf numFmtId="164" fontId="24" fillId="11" borderId="0" xfId="0" applyNumberFormat="1" applyFont="1" applyFill="1" applyBorder="1" applyAlignment="1" applyProtection="1">
      <alignment horizontal="center" vertical="center"/>
    </xf>
    <xf numFmtId="14" fontId="46" fillId="8" borderId="0" xfId="0" applyNumberFormat="1" applyFont="1" applyFill="1" applyBorder="1" applyAlignment="1" applyProtection="1">
      <alignment horizontal="center" vertical="center"/>
    </xf>
    <xf numFmtId="0" fontId="46" fillId="8" borderId="0" xfId="0" applyNumberFormat="1" applyFont="1" applyFill="1" applyBorder="1" applyAlignment="1" applyProtection="1">
      <alignment horizontal="center" vertical="center"/>
    </xf>
    <xf numFmtId="0" fontId="44" fillId="8" borderId="0" xfId="0" applyNumberFormat="1" applyFont="1" applyFill="1" applyBorder="1" applyAlignment="1" applyProtection="1">
      <alignment horizontal="center" vertical="center"/>
    </xf>
    <xf numFmtId="7" fontId="46" fillId="8" borderId="0" xfId="0" applyNumberFormat="1" applyFont="1" applyFill="1" applyBorder="1" applyAlignment="1" applyProtection="1">
      <alignment horizontal="center" vertical="center"/>
    </xf>
    <xf numFmtId="0" fontId="15" fillId="8" borderId="0" xfId="0" applyFont="1" applyFill="1" applyAlignment="1" applyProtection="1">
      <alignment horizontal="center" vertical="center"/>
    </xf>
    <xf numFmtId="14" fontId="26" fillId="8" borderId="0" xfId="0" applyNumberFormat="1" applyFont="1" applyFill="1" applyBorder="1" applyAlignment="1" applyProtection="1">
      <alignment horizontal="center" vertical="center"/>
    </xf>
    <xf numFmtId="0" fontId="26" fillId="8" borderId="0" xfId="0" applyNumberFormat="1" applyFont="1" applyFill="1" applyBorder="1" applyAlignment="1" applyProtection="1">
      <alignment horizontal="center" vertical="center"/>
    </xf>
    <xf numFmtId="7" fontId="26" fillId="8" borderId="0" xfId="0" applyNumberFormat="1" applyFont="1" applyFill="1" applyBorder="1" applyAlignment="1" applyProtection="1">
      <alignment horizontal="center" vertical="center"/>
    </xf>
    <xf numFmtId="0" fontId="77" fillId="8" borderId="0" xfId="0" applyNumberFormat="1" applyFont="1" applyFill="1" applyBorder="1" applyAlignment="1" applyProtection="1">
      <alignment horizontal="center" vertical="center"/>
    </xf>
    <xf numFmtId="164" fontId="24" fillId="8" borderId="0" xfId="0" applyNumberFormat="1" applyFont="1" applyFill="1" applyBorder="1" applyAlignment="1" applyProtection="1">
      <alignment horizontal="center" vertical="center"/>
    </xf>
    <xf numFmtId="0" fontId="9" fillId="11" borderId="0" xfId="0" applyNumberFormat="1" applyFont="1" applyFill="1" applyBorder="1" applyAlignment="1" applyProtection="1">
      <alignment horizontal="center" vertical="center"/>
    </xf>
    <xf numFmtId="0" fontId="5" fillId="11" borderId="0" xfId="0" applyNumberFormat="1" applyFont="1" applyFill="1" applyBorder="1" applyAlignment="1" applyProtection="1">
      <alignment horizontal="center"/>
    </xf>
    <xf numFmtId="0" fontId="36" fillId="11" borderId="0" xfId="0" applyNumberFormat="1" applyFont="1" applyFill="1" applyBorder="1" applyAlignment="1" applyProtection="1">
      <alignment horizontal="center"/>
    </xf>
    <xf numFmtId="0" fontId="37" fillId="11" borderId="0" xfId="0" applyNumberFormat="1" applyFont="1" applyFill="1" applyBorder="1" applyAlignment="1" applyProtection="1">
      <alignment horizontal="center" vertical="center" wrapText="1"/>
    </xf>
    <xf numFmtId="0" fontId="9" fillId="0" borderId="0" xfId="0" applyNumberFormat="1" applyFont="1" applyFill="1" applyBorder="1" applyAlignment="1" applyProtection="1">
      <alignment horizontal="center" vertical="center"/>
    </xf>
    <xf numFmtId="0" fontId="7" fillId="0" borderId="0" xfId="0" applyNumberFormat="1" applyFont="1" applyFill="1" applyBorder="1" applyAlignment="1" applyProtection="1">
      <alignment horizontal="center" vertical="center"/>
    </xf>
    <xf numFmtId="0" fontId="38" fillId="0" borderId="0" xfId="0" applyNumberFormat="1" applyFont="1" applyFill="1" applyBorder="1" applyAlignment="1" applyProtection="1"/>
    <xf numFmtId="14" fontId="3" fillId="11" borderId="0" xfId="0" applyNumberFormat="1" applyFont="1" applyFill="1" applyBorder="1" applyAlignment="1" applyProtection="1">
      <alignment horizontal="center" vertical="center" wrapText="1"/>
    </xf>
    <xf numFmtId="0" fontId="10" fillId="11" borderId="0" xfId="0" applyNumberFormat="1" applyFont="1" applyFill="1" applyBorder="1" applyAlignment="1" applyProtection="1">
      <alignment horizontal="center" vertical="center" wrapText="1"/>
    </xf>
    <xf numFmtId="0" fontId="11" fillId="11" borderId="0" xfId="0" applyNumberFormat="1" applyFont="1" applyFill="1" applyBorder="1" applyAlignment="1" applyProtection="1">
      <alignment horizontal="center" vertical="center"/>
    </xf>
    <xf numFmtId="0" fontId="11" fillId="0" borderId="0" xfId="0" applyNumberFormat="1" applyFont="1" applyFill="1" applyBorder="1" applyAlignment="1" applyProtection="1">
      <alignment horizontal="center" vertical="center"/>
    </xf>
    <xf numFmtId="0" fontId="36" fillId="0" borderId="0" xfId="0" applyNumberFormat="1" applyFont="1" applyFill="1" applyBorder="1" applyAlignment="1" applyProtection="1">
      <alignment horizontal="center" vertical="center" wrapText="1"/>
    </xf>
    <xf numFmtId="0" fontId="31" fillId="0" borderId="0" xfId="0" applyNumberFormat="1" applyFont="1" applyFill="1" applyBorder="1" applyAlignment="1" applyProtection="1">
      <alignment horizontal="center" vertical="center" wrapText="1"/>
    </xf>
    <xf numFmtId="0" fontId="42" fillId="11" borderId="0" xfId="0" applyNumberFormat="1" applyFont="1" applyFill="1" applyBorder="1" applyAlignment="1" applyProtection="1">
      <alignment horizontal="center"/>
    </xf>
    <xf numFmtId="0" fontId="42" fillId="11" borderId="0" xfId="0" applyNumberFormat="1" applyFont="1" applyFill="1" applyBorder="1" applyAlignment="1" applyProtection="1">
      <alignment horizontal="right"/>
    </xf>
    <xf numFmtId="0" fontId="32" fillId="0" borderId="0" xfId="0" applyNumberFormat="1" applyFont="1" applyFill="1" applyBorder="1" applyAlignment="1" applyProtection="1">
      <alignment horizontal="center" vertical="center"/>
    </xf>
    <xf numFmtId="0" fontId="39" fillId="11" borderId="0" xfId="0" applyNumberFormat="1" applyFont="1" applyFill="1" applyBorder="1" applyAlignment="1" applyProtection="1">
      <alignment horizontal="center" vertical="center" wrapText="1"/>
    </xf>
    <xf numFmtId="0" fontId="5" fillId="11" borderId="0" xfId="0" applyNumberFormat="1" applyFont="1" applyFill="1" applyBorder="1" applyAlignment="1" applyProtection="1">
      <alignment horizontal="right"/>
    </xf>
    <xf numFmtId="0" fontId="10" fillId="11" borderId="0" xfId="0" applyNumberFormat="1" applyFont="1" applyFill="1" applyBorder="1" applyAlignment="1" applyProtection="1">
      <alignment horizontal="center" vertical="center"/>
    </xf>
    <xf numFmtId="0" fontId="40" fillId="11" borderId="0" xfId="0" applyNumberFormat="1" applyFont="1" applyFill="1" applyBorder="1" applyAlignment="1" applyProtection="1">
      <alignment horizontal="right" vertical="center"/>
    </xf>
    <xf numFmtId="164" fontId="13" fillId="11" borderId="0" xfId="0" applyNumberFormat="1" applyFont="1" applyFill="1" applyBorder="1" applyAlignment="1" applyProtection="1">
      <alignment horizontal="center" vertical="center"/>
    </xf>
    <xf numFmtId="0" fontId="38" fillId="11" borderId="0" xfId="0" applyNumberFormat="1" applyFont="1" applyFill="1" applyBorder="1" applyAlignment="1" applyProtection="1">
      <alignment horizontal="center"/>
    </xf>
    <xf numFmtId="164" fontId="13" fillId="11" borderId="0" xfId="0" applyNumberFormat="1" applyFont="1" applyFill="1" applyBorder="1" applyAlignment="1" applyProtection="1">
      <alignment horizontal="center"/>
    </xf>
    <xf numFmtId="7" fontId="3" fillId="0" borderId="0" xfId="0" applyNumberFormat="1" applyFont="1" applyFill="1" applyBorder="1" applyAlignment="1" applyProtection="1">
      <alignment horizontal="center" vertical="center"/>
    </xf>
    <xf numFmtId="0" fontId="38" fillId="0" borderId="0" xfId="0" applyNumberFormat="1" applyFont="1" applyFill="1" applyBorder="1" applyAlignment="1" applyProtection="1">
      <alignment horizontal="right"/>
    </xf>
    <xf numFmtId="0" fontId="38" fillId="0" borderId="0" xfId="0" applyNumberFormat="1" applyFont="1" applyFill="1" applyBorder="1" applyAlignment="1" applyProtection="1">
      <alignment horizontal="center"/>
    </xf>
    <xf numFmtId="14" fontId="3" fillId="8" borderId="0" xfId="0" applyNumberFormat="1" applyFont="1" applyFill="1" applyBorder="1" applyAlignment="1" applyProtection="1">
      <alignment horizontal="right"/>
    </xf>
    <xf numFmtId="0" fontId="3" fillId="8" borderId="0" xfId="0" applyNumberFormat="1" applyFont="1" applyFill="1" applyBorder="1" applyAlignment="1" applyProtection="1">
      <alignment horizontal="center"/>
    </xf>
    <xf numFmtId="0" fontId="8" fillId="8" borderId="0" xfId="0" applyNumberFormat="1" applyFont="1" applyFill="1" applyBorder="1" applyAlignment="1" applyProtection="1">
      <alignment horizontal="center" vertical="center"/>
    </xf>
    <xf numFmtId="7" fontId="3" fillId="8" borderId="0" xfId="0" applyNumberFormat="1" applyFont="1" applyFill="1" applyBorder="1" applyAlignment="1" applyProtection="1">
      <alignment horizontal="right"/>
    </xf>
    <xf numFmtId="14" fontId="4" fillId="8" borderId="0" xfId="0" applyNumberFormat="1" applyFont="1" applyFill="1" applyBorder="1" applyAlignment="1" applyProtection="1">
      <alignment horizontal="center" vertical="center"/>
    </xf>
    <xf numFmtId="0" fontId="4" fillId="8" borderId="0" xfId="0" applyNumberFormat="1" applyFont="1" applyFill="1" applyBorder="1" applyAlignment="1" applyProtection="1">
      <alignment horizontal="center" vertical="center"/>
    </xf>
    <xf numFmtId="7" fontId="4" fillId="8" borderId="0" xfId="0" applyNumberFormat="1" applyFont="1" applyFill="1" applyBorder="1" applyAlignment="1" applyProtection="1">
      <alignment horizontal="center" vertical="center"/>
    </xf>
    <xf numFmtId="0" fontId="41" fillId="8" borderId="0" xfId="0" applyNumberFormat="1" applyFont="1" applyFill="1" applyBorder="1" applyAlignment="1" applyProtection="1">
      <alignment horizontal="center"/>
    </xf>
    <xf numFmtId="0" fontId="38" fillId="8" borderId="0" xfId="0" applyNumberFormat="1" applyFont="1" applyFill="1" applyBorder="1" applyAlignment="1" applyProtection="1">
      <alignment horizontal="right"/>
    </xf>
    <xf numFmtId="0" fontId="38" fillId="8" borderId="0" xfId="0" applyNumberFormat="1" applyFont="1" applyFill="1" applyBorder="1" applyAlignment="1" applyProtection="1">
      <alignment horizontal="center"/>
    </xf>
    <xf numFmtId="0" fontId="65" fillId="0" borderId="0" xfId="0" applyNumberFormat="1" applyFont="1" applyFill="1" applyBorder="1" applyAlignment="1" applyProtection="1">
      <alignment horizontal="right"/>
    </xf>
    <xf numFmtId="14" fontId="3" fillId="10" borderId="0" xfId="0" applyNumberFormat="1" applyFont="1" applyFill="1" applyBorder="1" applyAlignment="1" applyProtection="1">
      <alignment horizontal="right"/>
    </xf>
    <xf numFmtId="0" fontId="3" fillId="10" borderId="0" xfId="0" applyNumberFormat="1" applyFont="1" applyFill="1" applyBorder="1" applyAlignment="1" applyProtection="1">
      <alignment horizontal="center"/>
    </xf>
    <xf numFmtId="0" fontId="8" fillId="10" borderId="0" xfId="0" applyNumberFormat="1" applyFont="1" applyFill="1" applyBorder="1" applyAlignment="1" applyProtection="1">
      <alignment horizontal="center" vertical="center"/>
    </xf>
    <xf numFmtId="0" fontId="38" fillId="10" borderId="0" xfId="0" applyNumberFormat="1" applyFont="1" applyFill="1" applyBorder="1" applyAlignment="1" applyProtection="1">
      <alignment horizontal="right"/>
    </xf>
    <xf numFmtId="14" fontId="4" fillId="10" borderId="0" xfId="0" applyNumberFormat="1" applyFont="1" applyFill="1" applyBorder="1" applyAlignment="1" applyProtection="1">
      <alignment horizontal="right"/>
    </xf>
    <xf numFmtId="0" fontId="4" fillId="10" borderId="0" xfId="0" applyNumberFormat="1" applyFont="1" applyFill="1" applyBorder="1" applyAlignment="1" applyProtection="1">
      <alignment horizontal="center"/>
    </xf>
    <xf numFmtId="164" fontId="66" fillId="10" borderId="0" xfId="0" applyNumberFormat="1" applyFont="1" applyFill="1" applyBorder="1" applyAlignment="1" applyProtection="1">
      <alignment horizontal="center" vertical="center" wrapText="1"/>
    </xf>
    <xf numFmtId="164" fontId="13" fillId="10" borderId="0" xfId="0" applyNumberFormat="1" applyFont="1" applyFill="1" applyBorder="1" applyAlignment="1" applyProtection="1">
      <alignment horizontal="center" vertical="center"/>
    </xf>
    <xf numFmtId="164" fontId="24" fillId="10" borderId="0" xfId="0" applyNumberFormat="1" applyFont="1" applyFill="1" applyBorder="1" applyAlignment="1" applyProtection="1">
      <alignment horizontal="center" vertical="center"/>
    </xf>
    <xf numFmtId="0" fontId="38" fillId="10" borderId="0" xfId="0" applyNumberFormat="1" applyFont="1" applyFill="1" applyBorder="1" applyAlignment="1" applyProtection="1">
      <alignment horizontal="center"/>
    </xf>
    <xf numFmtId="0" fontId="15" fillId="0" borderId="0" xfId="0" applyFont="1" applyProtection="1"/>
    <xf numFmtId="0" fontId="17" fillId="0" borderId="0" xfId="0" applyFont="1" applyAlignment="1" applyProtection="1">
      <alignment horizontal="center" vertical="center"/>
    </xf>
    <xf numFmtId="0" fontId="18" fillId="0" borderId="0" xfId="0" applyFont="1" applyAlignment="1" applyProtection="1">
      <alignment horizontal="center" vertical="center"/>
    </xf>
    <xf numFmtId="0" fontId="15" fillId="12" borderId="0" xfId="0" applyFont="1" applyFill="1" applyAlignment="1" applyProtection="1">
      <alignment horizontal="center" vertical="center"/>
    </xf>
    <xf numFmtId="0" fontId="63" fillId="0" borderId="0" xfId="0" applyFont="1" applyProtection="1"/>
    <xf numFmtId="164" fontId="24" fillId="12" borderId="0" xfId="0" applyNumberFormat="1" applyFont="1" applyFill="1" applyBorder="1" applyAlignment="1" applyProtection="1">
      <alignment horizontal="center" vertical="center" wrapText="1"/>
    </xf>
    <xf numFmtId="164" fontId="24" fillId="12" borderId="0" xfId="0" applyNumberFormat="1" applyFont="1" applyFill="1" applyBorder="1" applyAlignment="1" applyProtection="1">
      <alignment horizontal="center" vertical="center"/>
    </xf>
    <xf numFmtId="0" fontId="6" fillId="0" borderId="0" xfId="0" applyNumberFormat="1" applyFont="1" applyFill="1" applyBorder="1" applyAlignment="1" applyProtection="1">
      <alignment horizontal="center"/>
    </xf>
    <xf numFmtId="0" fontId="6" fillId="0" borderId="0" xfId="0" applyNumberFormat="1" applyFont="1" applyFill="1" applyBorder="1" applyAlignment="1" applyProtection="1">
      <alignment horizontal="right"/>
    </xf>
    <xf numFmtId="0" fontId="15" fillId="6" borderId="0" xfId="0" applyFont="1" applyFill="1" applyAlignment="1" applyProtection="1">
      <alignment horizontal="center" vertical="center"/>
    </xf>
    <xf numFmtId="164" fontId="24" fillId="6" borderId="0" xfId="0" applyNumberFormat="1" applyFont="1" applyFill="1" applyBorder="1" applyAlignment="1" applyProtection="1">
      <alignment horizontal="center" vertical="center"/>
    </xf>
    <xf numFmtId="0" fontId="19" fillId="0" borderId="0" xfId="0" applyFont="1" applyProtection="1"/>
    <xf numFmtId="0" fontId="0" fillId="6" borderId="0" xfId="0" applyFill="1" applyProtection="1"/>
    <xf numFmtId="0" fontId="6" fillId="6" borderId="0" xfId="0" applyNumberFormat="1" applyFont="1" applyFill="1" applyBorder="1" applyAlignment="1" applyProtection="1">
      <alignment horizontal="center"/>
    </xf>
    <xf numFmtId="0" fontId="22" fillId="0" borderId="0" xfId="0" applyFont="1" applyAlignment="1" applyProtection="1">
      <alignment horizontal="center" vertical="center"/>
    </xf>
    <xf numFmtId="164" fontId="17" fillId="0" borderId="1" xfId="0" applyNumberFormat="1" applyFont="1" applyFill="1" applyBorder="1" applyAlignment="1" applyProtection="1">
      <alignment horizontal="center" vertical="center"/>
      <protection locked="0"/>
    </xf>
    <xf numFmtId="0" fontId="17" fillId="0" borderId="1" xfId="0" applyFont="1" applyFill="1" applyBorder="1" applyAlignment="1" applyProtection="1">
      <alignment horizontal="center" vertical="center"/>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2.vml.rels><?xml version="1.0" encoding="UTF-8" standalone="yes"?>
<Relationships xmlns="http://schemas.openxmlformats.org/package/2006/relationships"><Relationship Id="rId2" Type="http://schemas.openxmlformats.org/officeDocument/2006/relationships/image" Target="../media/image3.emf"/><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2" Type="http://schemas.openxmlformats.org/officeDocument/2006/relationships/image" Target="../media/image5.emf"/><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6.emf"/></Relationships>
</file>

<file path=xl/drawings/_rels/vmlDrawing5.vml.rels><?xml version="1.0" encoding="UTF-8" standalone="yes"?>
<Relationships xmlns="http://schemas.openxmlformats.org/package/2006/relationships"><Relationship Id="rId2" Type="http://schemas.openxmlformats.org/officeDocument/2006/relationships/image" Target="../media/image1.emf"/><Relationship Id="rId1" Type="http://schemas.openxmlformats.org/officeDocument/2006/relationships/image" Target="../media/image7.emf"/></Relationships>
</file>

<file path=xl/drawings/_rels/vmlDrawing6.vml.rels><?xml version="1.0" encoding="UTF-8" standalone="yes"?>
<Relationships xmlns="http://schemas.openxmlformats.org/package/2006/relationships"><Relationship Id="rId2" Type="http://schemas.openxmlformats.org/officeDocument/2006/relationships/image" Target="../media/image9.emf"/><Relationship Id="rId1" Type="http://schemas.openxmlformats.org/officeDocument/2006/relationships/image" Target="../media/image8.emf"/></Relationships>
</file>

<file path=xl/drawings/_rels/vmlDrawing7.vml.rels><?xml version="1.0" encoding="UTF-8" standalone="yes"?>
<Relationships xmlns="http://schemas.openxmlformats.org/package/2006/relationships"><Relationship Id="rId3" Type="http://schemas.openxmlformats.org/officeDocument/2006/relationships/image" Target="../media/image11.emf"/><Relationship Id="rId2" Type="http://schemas.openxmlformats.org/officeDocument/2006/relationships/image" Target="../media/image10.emf"/><Relationship Id="rId1" Type="http://schemas.openxmlformats.org/officeDocument/2006/relationships/image" Target="../media/image9.emf"/></Relationships>
</file>

<file path=xl/drawings/_rels/vmlDrawing8.vml.rels><?xml version="1.0" encoding="UTF-8" standalone="yes"?>
<Relationships xmlns="http://schemas.openxmlformats.org/package/2006/relationships"><Relationship Id="rId2" Type="http://schemas.openxmlformats.org/officeDocument/2006/relationships/image" Target="../media/image13.emf"/><Relationship Id="rId1" Type="http://schemas.openxmlformats.org/officeDocument/2006/relationships/image" Target="../media/image12.emf"/></Relationships>
</file>

<file path=xl/drawings/_rels/vmlDrawing9.vml.rels><?xml version="1.0" encoding="UTF-8" standalone="yes"?>
<Relationships xmlns="http://schemas.openxmlformats.org/package/2006/relationships"><Relationship Id="rId3" Type="http://schemas.openxmlformats.org/officeDocument/2006/relationships/image" Target="../media/image16.emf"/><Relationship Id="rId2" Type="http://schemas.openxmlformats.org/officeDocument/2006/relationships/image" Target="../media/image15.emf"/><Relationship Id="rId1" Type="http://schemas.openxmlformats.org/officeDocument/2006/relationships/image" Target="../media/image14.emf"/><Relationship Id="rId6" Type="http://schemas.openxmlformats.org/officeDocument/2006/relationships/image" Target="../media/image19.emf"/><Relationship Id="rId5" Type="http://schemas.openxmlformats.org/officeDocument/2006/relationships/image" Target="../media/image18.emf"/><Relationship Id="rId4" Type="http://schemas.openxmlformats.org/officeDocument/2006/relationships/image" Target="../media/image17.emf"/></Relationships>
</file>

<file path=xl/drawings/_rels/vmlDrawing10.vml.rels><?xml version="1.0" encoding="UTF-8" standalone="yes"?>
<Relationships xmlns="http://schemas.openxmlformats.org/package/2006/relationships"><Relationship Id="rId2" Type="http://schemas.openxmlformats.org/officeDocument/2006/relationships/image" Target="../media/image21.emf"/><Relationship Id="rId1" Type="http://schemas.openxmlformats.org/officeDocument/2006/relationships/image" Target="../media/image20.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1400175</xdr:colOff>
          <xdr:row>0</xdr:row>
          <xdr:rowOff>57150</xdr:rowOff>
        </xdr:from>
        <xdr:to>
          <xdr:col>6</xdr:col>
          <xdr:colOff>9525</xdr:colOff>
          <xdr:row>3</xdr:row>
          <xdr:rowOff>0</xdr:rowOff>
        </xdr:to>
        <xdr:sp macro="" textlink="">
          <xdr:nvSpPr>
            <xdr:cNvPr id="1030" name="Object 6" hidden="1">
              <a:extLst>
                <a:ext uri="{63B3BB69-23CF-44E3-9099-C40C66FF867C}">
                  <a14:compatExt spid="_x0000_s103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47625</xdr:colOff>
          <xdr:row>1</xdr:row>
          <xdr:rowOff>19050</xdr:rowOff>
        </xdr:from>
        <xdr:to>
          <xdr:col>11</xdr:col>
          <xdr:colOff>209550</xdr:colOff>
          <xdr:row>24</xdr:row>
          <xdr:rowOff>114300</xdr:rowOff>
        </xdr:to>
        <xdr:sp macro="" textlink="">
          <xdr:nvSpPr>
            <xdr:cNvPr id="11265" name="Object 1" hidden="1">
              <a:extLst>
                <a:ext uri="{63B3BB69-23CF-44E3-9099-C40C66FF867C}">
                  <a14:compatExt spid="_x0000_s11265"/>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25</xdr:row>
          <xdr:rowOff>28575</xdr:rowOff>
        </xdr:from>
        <xdr:to>
          <xdr:col>11</xdr:col>
          <xdr:colOff>238125</xdr:colOff>
          <xdr:row>57</xdr:row>
          <xdr:rowOff>9525</xdr:rowOff>
        </xdr:to>
        <xdr:sp macro="" textlink="">
          <xdr:nvSpPr>
            <xdr:cNvPr id="11266" name="Object 2" hidden="1">
              <a:extLst>
                <a:ext uri="{63B3BB69-23CF-44E3-9099-C40C66FF867C}">
                  <a14:compatExt spid="_x0000_s11266"/>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66675</xdr:colOff>
          <xdr:row>1</xdr:row>
          <xdr:rowOff>19050</xdr:rowOff>
        </xdr:from>
        <xdr:to>
          <xdr:col>9</xdr:col>
          <xdr:colOff>390525</xdr:colOff>
          <xdr:row>23</xdr:row>
          <xdr:rowOff>76200</xdr:rowOff>
        </xdr:to>
        <xdr:sp macro="" textlink="">
          <xdr:nvSpPr>
            <xdr:cNvPr id="10241" name="Object 1" hidden="1">
              <a:extLst>
                <a:ext uri="{63B3BB69-23CF-44E3-9099-C40C66FF867C}">
                  <a14:compatExt spid="_x0000_s10241"/>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57150</xdr:colOff>
          <xdr:row>23</xdr:row>
          <xdr:rowOff>133350</xdr:rowOff>
        </xdr:from>
        <xdr:to>
          <xdr:col>9</xdr:col>
          <xdr:colOff>371475</xdr:colOff>
          <xdr:row>46</xdr:row>
          <xdr:rowOff>66675</xdr:rowOff>
        </xdr:to>
        <xdr:sp macro="" textlink="">
          <xdr:nvSpPr>
            <xdr:cNvPr id="10242" name="Object 2" hidden="1">
              <a:extLst>
                <a:ext uri="{63B3BB69-23CF-44E3-9099-C40C66FF867C}">
                  <a14:compatExt spid="_x0000_s10242"/>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66675</xdr:colOff>
          <xdr:row>3</xdr:row>
          <xdr:rowOff>28575</xdr:rowOff>
        </xdr:from>
        <xdr:to>
          <xdr:col>9</xdr:col>
          <xdr:colOff>9525</xdr:colOff>
          <xdr:row>25</xdr:row>
          <xdr:rowOff>152400</xdr:rowOff>
        </xdr:to>
        <xdr:sp macro="" textlink="">
          <xdr:nvSpPr>
            <xdr:cNvPr id="9221" name="Object 5" hidden="1">
              <a:extLst>
                <a:ext uri="{63B3BB69-23CF-44E3-9099-C40C66FF867C}">
                  <a14:compatExt spid="_x0000_s9221"/>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38100</xdr:colOff>
          <xdr:row>19</xdr:row>
          <xdr:rowOff>38100</xdr:rowOff>
        </xdr:from>
        <xdr:to>
          <xdr:col>7</xdr:col>
          <xdr:colOff>314325</xdr:colOff>
          <xdr:row>33</xdr:row>
          <xdr:rowOff>142875</xdr:rowOff>
        </xdr:to>
        <xdr:sp macro="" textlink="">
          <xdr:nvSpPr>
            <xdr:cNvPr id="4097" name="Object 1" hidden="1">
              <a:extLst>
                <a:ext uri="{63B3BB69-23CF-44E3-9099-C40C66FF867C}">
                  <a14:compatExt spid="_x0000_s4097"/>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238125</xdr:colOff>
          <xdr:row>1</xdr:row>
          <xdr:rowOff>76200</xdr:rowOff>
        </xdr:from>
        <xdr:to>
          <xdr:col>8</xdr:col>
          <xdr:colOff>571500</xdr:colOff>
          <xdr:row>8</xdr:row>
          <xdr:rowOff>19050</xdr:rowOff>
        </xdr:to>
        <xdr:sp macro="" textlink="">
          <xdr:nvSpPr>
            <xdr:cNvPr id="4098" name="Object 2" hidden="1">
              <a:extLst>
                <a:ext uri="{63B3BB69-23CF-44E3-9099-C40C66FF867C}">
                  <a14:compatExt spid="_x0000_s4098"/>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47625</xdr:colOff>
          <xdr:row>1</xdr:row>
          <xdr:rowOff>247650</xdr:rowOff>
        </xdr:from>
        <xdr:to>
          <xdr:col>13</xdr:col>
          <xdr:colOff>180975</xdr:colOff>
          <xdr:row>15</xdr:row>
          <xdr:rowOff>104775</xdr:rowOff>
        </xdr:to>
        <xdr:sp macro="" textlink="">
          <xdr:nvSpPr>
            <xdr:cNvPr id="5121" name="Object 1" hidden="1">
              <a:extLst>
                <a:ext uri="{63B3BB69-23CF-44E3-9099-C40C66FF867C}">
                  <a14:compatExt spid="_x0000_s5121"/>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647700</xdr:colOff>
          <xdr:row>11</xdr:row>
          <xdr:rowOff>0</xdr:rowOff>
        </xdr:from>
        <xdr:to>
          <xdr:col>4</xdr:col>
          <xdr:colOff>952500</xdr:colOff>
          <xdr:row>20</xdr:row>
          <xdr:rowOff>0</xdr:rowOff>
        </xdr:to>
        <xdr:sp macro="" textlink="">
          <xdr:nvSpPr>
            <xdr:cNvPr id="5122" name="Object 2" hidden="1">
              <a:extLst>
                <a:ext uri="{63B3BB69-23CF-44E3-9099-C40C66FF867C}">
                  <a14:compatExt spid="_x0000_s5122"/>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923925</xdr:colOff>
          <xdr:row>10</xdr:row>
          <xdr:rowOff>85725</xdr:rowOff>
        </xdr:from>
        <xdr:to>
          <xdr:col>3</xdr:col>
          <xdr:colOff>419100</xdr:colOff>
          <xdr:row>18</xdr:row>
          <xdr:rowOff>142875</xdr:rowOff>
        </xdr:to>
        <xdr:sp macro="" textlink="">
          <xdr:nvSpPr>
            <xdr:cNvPr id="6145" name="Object 1" hidden="1">
              <a:extLst>
                <a:ext uri="{63B3BB69-23CF-44E3-9099-C40C66FF867C}">
                  <a14:compatExt spid="_x0000_s6145"/>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1190625</xdr:colOff>
          <xdr:row>24</xdr:row>
          <xdr:rowOff>38100</xdr:rowOff>
        </xdr:from>
        <xdr:to>
          <xdr:col>2</xdr:col>
          <xdr:colOff>1143000</xdr:colOff>
          <xdr:row>41</xdr:row>
          <xdr:rowOff>9525</xdr:rowOff>
        </xdr:to>
        <xdr:sp macro="" textlink="">
          <xdr:nvSpPr>
            <xdr:cNvPr id="6147" name="Object 3" hidden="1">
              <a:extLst>
                <a:ext uri="{63B3BB69-23CF-44E3-9099-C40C66FF867C}">
                  <a14:compatExt spid="_x0000_s6147"/>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9525</xdr:colOff>
          <xdr:row>0</xdr:row>
          <xdr:rowOff>142875</xdr:rowOff>
        </xdr:from>
        <xdr:to>
          <xdr:col>7</xdr:col>
          <xdr:colOff>495300</xdr:colOff>
          <xdr:row>12</xdr:row>
          <xdr:rowOff>47625</xdr:rowOff>
        </xdr:to>
        <xdr:sp macro="" textlink="">
          <xdr:nvSpPr>
            <xdr:cNvPr id="6154" name="Object 10" hidden="1">
              <a:extLst>
                <a:ext uri="{63B3BB69-23CF-44E3-9099-C40C66FF867C}">
                  <a14:compatExt spid="_x0000_s6154"/>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190500</xdr:colOff>
          <xdr:row>11</xdr:row>
          <xdr:rowOff>47625</xdr:rowOff>
        </xdr:from>
        <xdr:to>
          <xdr:col>5</xdr:col>
          <xdr:colOff>600075</xdr:colOff>
          <xdr:row>33</xdr:row>
          <xdr:rowOff>38100</xdr:rowOff>
        </xdr:to>
        <xdr:sp macro="" textlink="">
          <xdr:nvSpPr>
            <xdr:cNvPr id="3074" name="Object 2" hidden="1">
              <a:extLst>
                <a:ext uri="{63B3BB69-23CF-44E3-9099-C40C66FF867C}">
                  <a14:compatExt spid="_x0000_s3074"/>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828675</xdr:colOff>
          <xdr:row>1</xdr:row>
          <xdr:rowOff>142875</xdr:rowOff>
        </xdr:from>
        <xdr:to>
          <xdr:col>17</xdr:col>
          <xdr:colOff>257175</xdr:colOff>
          <xdr:row>35</xdr:row>
          <xdr:rowOff>95250</xdr:rowOff>
        </xdr:to>
        <xdr:sp macro="" textlink="">
          <xdr:nvSpPr>
            <xdr:cNvPr id="3076" name="Object 4" hidden="1">
              <a:extLst>
                <a:ext uri="{63B3BB69-23CF-44E3-9099-C40C66FF867C}">
                  <a14:compatExt spid="_x0000_s3076"/>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wsDr>
</file>

<file path=xl/drawings/drawing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209550</xdr:colOff>
          <xdr:row>7</xdr:row>
          <xdr:rowOff>123825</xdr:rowOff>
        </xdr:from>
        <xdr:to>
          <xdr:col>8</xdr:col>
          <xdr:colOff>238125</xdr:colOff>
          <xdr:row>15</xdr:row>
          <xdr:rowOff>238125</xdr:rowOff>
        </xdr:to>
        <xdr:sp macro="" textlink="">
          <xdr:nvSpPr>
            <xdr:cNvPr id="2049" name="Object 1" hidden="1">
              <a:extLst>
                <a:ext uri="{63B3BB69-23CF-44E3-9099-C40C66FF867C}">
                  <a14:compatExt spid="_x0000_s2049"/>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400050</xdr:colOff>
          <xdr:row>33</xdr:row>
          <xdr:rowOff>104775</xdr:rowOff>
        </xdr:from>
        <xdr:to>
          <xdr:col>4</xdr:col>
          <xdr:colOff>981075</xdr:colOff>
          <xdr:row>52</xdr:row>
          <xdr:rowOff>38100</xdr:rowOff>
        </xdr:to>
        <xdr:sp macro="" textlink="">
          <xdr:nvSpPr>
            <xdr:cNvPr id="2050" name="Object 2" hidden="1">
              <a:extLst>
                <a:ext uri="{63B3BB69-23CF-44E3-9099-C40C66FF867C}">
                  <a14:compatExt spid="_x0000_s205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123825</xdr:colOff>
          <xdr:row>33</xdr:row>
          <xdr:rowOff>104775</xdr:rowOff>
        </xdr:from>
        <xdr:to>
          <xdr:col>12</xdr:col>
          <xdr:colOff>133350</xdr:colOff>
          <xdr:row>47</xdr:row>
          <xdr:rowOff>85725</xdr:rowOff>
        </xdr:to>
        <xdr:sp macro="" textlink="">
          <xdr:nvSpPr>
            <xdr:cNvPr id="2051" name="Object 3" hidden="1">
              <a:extLst>
                <a:ext uri="{63B3BB69-23CF-44E3-9099-C40C66FF867C}">
                  <a14:compatExt spid="_x0000_s2051"/>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28575</xdr:colOff>
          <xdr:row>1</xdr:row>
          <xdr:rowOff>95250</xdr:rowOff>
        </xdr:from>
        <xdr:to>
          <xdr:col>11</xdr:col>
          <xdr:colOff>57150</xdr:colOff>
          <xdr:row>7</xdr:row>
          <xdr:rowOff>0</xdr:rowOff>
        </xdr:to>
        <xdr:sp macro="" textlink="">
          <xdr:nvSpPr>
            <xdr:cNvPr id="2052" name="Object 4" hidden="1">
              <a:extLst>
                <a:ext uri="{63B3BB69-23CF-44E3-9099-C40C66FF867C}">
                  <a14:compatExt spid="_x0000_s2052"/>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57150</xdr:colOff>
          <xdr:row>9</xdr:row>
          <xdr:rowOff>28575</xdr:rowOff>
        </xdr:from>
        <xdr:to>
          <xdr:col>2</xdr:col>
          <xdr:colOff>47625</xdr:colOff>
          <xdr:row>15</xdr:row>
          <xdr:rowOff>400050</xdr:rowOff>
        </xdr:to>
        <xdr:sp macro="" textlink="">
          <xdr:nvSpPr>
            <xdr:cNvPr id="2053" name="Object 5" hidden="1">
              <a:extLst>
                <a:ext uri="{63B3BB69-23CF-44E3-9099-C40C66FF867C}">
                  <a14:compatExt spid="_x0000_s2053"/>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247650</xdr:colOff>
          <xdr:row>18</xdr:row>
          <xdr:rowOff>133350</xdr:rowOff>
        </xdr:from>
        <xdr:to>
          <xdr:col>4</xdr:col>
          <xdr:colOff>828675</xdr:colOff>
          <xdr:row>28</xdr:row>
          <xdr:rowOff>152400</xdr:rowOff>
        </xdr:to>
        <xdr:sp macro="" textlink="">
          <xdr:nvSpPr>
            <xdr:cNvPr id="2054" name="Object 6" hidden="1">
              <a:extLst>
                <a:ext uri="{63B3BB69-23CF-44E3-9099-C40C66FF867C}">
                  <a14:compatExt spid="_x0000_s2054"/>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6</xdr:row>
          <xdr:rowOff>0</xdr:rowOff>
        </xdr:from>
        <xdr:to>
          <xdr:col>7</xdr:col>
          <xdr:colOff>352425</xdr:colOff>
          <xdr:row>33</xdr:row>
          <xdr:rowOff>104775</xdr:rowOff>
        </xdr:to>
        <xdr:sp macro="" textlink="">
          <xdr:nvSpPr>
            <xdr:cNvPr id="8196" name="Object 4" hidden="1">
              <a:extLst>
                <a:ext uri="{63B3BB69-23CF-44E3-9099-C40C66FF867C}">
                  <a14:compatExt spid="_x0000_s8196"/>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457200</xdr:colOff>
          <xdr:row>5</xdr:row>
          <xdr:rowOff>114300</xdr:rowOff>
        </xdr:from>
        <xdr:to>
          <xdr:col>14</xdr:col>
          <xdr:colOff>476250</xdr:colOff>
          <xdr:row>23</xdr:row>
          <xdr:rowOff>114300</xdr:rowOff>
        </xdr:to>
        <xdr:sp macro="" textlink="">
          <xdr:nvSpPr>
            <xdr:cNvPr id="8197" name="Object 5" hidden="1">
              <a:extLst>
                <a:ext uri="{63B3BB69-23CF-44E3-9099-C40C66FF867C}">
                  <a14:compatExt spid="_x0000_s8197"/>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omments" Target="../comments1.xml"/><Relationship Id="rId5" Type="http://schemas.openxmlformats.org/officeDocument/2006/relationships/image" Target="../media/image1.emf"/><Relationship Id="rId4" Type="http://schemas.openxmlformats.org/officeDocument/2006/relationships/oleObject" Target="../embeddings/oleObject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image" Target="../media/image3.emf"/><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oleObject" Target="../embeddings/oleObject3.bin"/><Relationship Id="rId5" Type="http://schemas.openxmlformats.org/officeDocument/2006/relationships/image" Target="../media/image2.emf"/><Relationship Id="rId4" Type="http://schemas.openxmlformats.org/officeDocument/2006/relationships/oleObject" Target="../embeddings/oleObject2.bin"/></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3.vml"/><Relationship Id="rId7" Type="http://schemas.openxmlformats.org/officeDocument/2006/relationships/image" Target="../media/image5.emf"/><Relationship Id="rId2" Type="http://schemas.openxmlformats.org/officeDocument/2006/relationships/drawing" Target="../drawings/drawing3.xml"/><Relationship Id="rId1" Type="http://schemas.openxmlformats.org/officeDocument/2006/relationships/printerSettings" Target="../printerSettings/printerSettings3.bin"/><Relationship Id="rId6" Type="http://schemas.openxmlformats.org/officeDocument/2006/relationships/oleObject" Target="../embeddings/oleObject5.bin"/><Relationship Id="rId5" Type="http://schemas.openxmlformats.org/officeDocument/2006/relationships/image" Target="../media/image4.emf"/><Relationship Id="rId4" Type="http://schemas.openxmlformats.org/officeDocument/2006/relationships/oleObject" Target="../embeddings/oleObject4.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4.bin"/><Relationship Id="rId5" Type="http://schemas.openxmlformats.org/officeDocument/2006/relationships/image" Target="../media/image6.emf"/><Relationship Id="rId4" Type="http://schemas.openxmlformats.org/officeDocument/2006/relationships/oleObject" Target="../embeddings/oleObject6.bin"/></Relationships>
</file>

<file path=xl/worksheets/_rels/sheet5.xml.rels><?xml version="1.0" encoding="UTF-8" standalone="yes"?>
<Relationships xmlns="http://schemas.openxmlformats.org/package/2006/relationships"><Relationship Id="rId8" Type="http://schemas.openxmlformats.org/officeDocument/2006/relationships/comments" Target="../comments3.xml"/><Relationship Id="rId3" Type="http://schemas.openxmlformats.org/officeDocument/2006/relationships/vmlDrawing" Target="../drawings/vmlDrawing5.vml"/><Relationship Id="rId7" Type="http://schemas.openxmlformats.org/officeDocument/2006/relationships/image" Target="../media/image1.emf"/><Relationship Id="rId2" Type="http://schemas.openxmlformats.org/officeDocument/2006/relationships/drawing" Target="../drawings/drawing5.xml"/><Relationship Id="rId1" Type="http://schemas.openxmlformats.org/officeDocument/2006/relationships/printerSettings" Target="../printerSettings/printerSettings5.bin"/><Relationship Id="rId6" Type="http://schemas.openxmlformats.org/officeDocument/2006/relationships/oleObject" Target="../embeddings/oleObject8.bin"/><Relationship Id="rId5" Type="http://schemas.openxmlformats.org/officeDocument/2006/relationships/image" Target="../media/image7.emf"/><Relationship Id="rId4" Type="http://schemas.openxmlformats.org/officeDocument/2006/relationships/oleObject" Target="../embeddings/oleObject7.bin"/></Relationships>
</file>

<file path=xl/worksheets/_rels/sheet6.xml.rels><?xml version="1.0" encoding="UTF-8" standalone="yes"?>
<Relationships xmlns="http://schemas.openxmlformats.org/package/2006/relationships"><Relationship Id="rId8" Type="http://schemas.openxmlformats.org/officeDocument/2006/relationships/comments" Target="../comments4.xml"/><Relationship Id="rId3" Type="http://schemas.openxmlformats.org/officeDocument/2006/relationships/vmlDrawing" Target="../drawings/vmlDrawing6.vml"/><Relationship Id="rId7" Type="http://schemas.openxmlformats.org/officeDocument/2006/relationships/image" Target="../media/image9.emf"/><Relationship Id="rId2" Type="http://schemas.openxmlformats.org/officeDocument/2006/relationships/drawing" Target="../drawings/drawing6.xml"/><Relationship Id="rId1" Type="http://schemas.openxmlformats.org/officeDocument/2006/relationships/printerSettings" Target="../printerSettings/printerSettings6.bin"/><Relationship Id="rId6" Type="http://schemas.openxmlformats.org/officeDocument/2006/relationships/oleObject" Target="../embeddings/oleObject10.bin"/><Relationship Id="rId5" Type="http://schemas.openxmlformats.org/officeDocument/2006/relationships/image" Target="../media/image8.emf"/><Relationship Id="rId4" Type="http://schemas.openxmlformats.org/officeDocument/2006/relationships/oleObject" Target="../embeddings/oleObject9.bin"/></Relationships>
</file>

<file path=xl/worksheets/_rels/sheet7.xml.rels><?xml version="1.0" encoding="UTF-8" standalone="yes"?>
<Relationships xmlns="http://schemas.openxmlformats.org/package/2006/relationships"><Relationship Id="rId8" Type="http://schemas.openxmlformats.org/officeDocument/2006/relationships/oleObject" Target="../embeddings/oleObject13.bin"/><Relationship Id="rId3" Type="http://schemas.openxmlformats.org/officeDocument/2006/relationships/vmlDrawing" Target="../drawings/vmlDrawing7.vml"/><Relationship Id="rId7" Type="http://schemas.openxmlformats.org/officeDocument/2006/relationships/image" Target="../media/image10.emf"/><Relationship Id="rId2" Type="http://schemas.openxmlformats.org/officeDocument/2006/relationships/drawing" Target="../drawings/drawing7.xml"/><Relationship Id="rId1" Type="http://schemas.openxmlformats.org/officeDocument/2006/relationships/printerSettings" Target="../printerSettings/printerSettings7.bin"/><Relationship Id="rId6" Type="http://schemas.openxmlformats.org/officeDocument/2006/relationships/oleObject" Target="../embeddings/oleObject12.bin"/><Relationship Id="rId5" Type="http://schemas.openxmlformats.org/officeDocument/2006/relationships/image" Target="../media/image9.emf"/><Relationship Id="rId10" Type="http://schemas.openxmlformats.org/officeDocument/2006/relationships/comments" Target="../comments5.xml"/><Relationship Id="rId4" Type="http://schemas.openxmlformats.org/officeDocument/2006/relationships/oleObject" Target="../embeddings/oleObject11.bin"/><Relationship Id="rId9" Type="http://schemas.openxmlformats.org/officeDocument/2006/relationships/image" Target="../media/image11.emf"/></Relationships>
</file>

<file path=xl/worksheets/_rels/sheet8.xml.rels><?xml version="1.0" encoding="UTF-8" standalone="yes"?>
<Relationships xmlns="http://schemas.openxmlformats.org/package/2006/relationships"><Relationship Id="rId8" Type="http://schemas.openxmlformats.org/officeDocument/2006/relationships/comments" Target="../comments6.xml"/><Relationship Id="rId3" Type="http://schemas.openxmlformats.org/officeDocument/2006/relationships/vmlDrawing" Target="../drawings/vmlDrawing8.vml"/><Relationship Id="rId7" Type="http://schemas.openxmlformats.org/officeDocument/2006/relationships/image" Target="../media/image13.emf"/><Relationship Id="rId2" Type="http://schemas.openxmlformats.org/officeDocument/2006/relationships/drawing" Target="../drawings/drawing8.xml"/><Relationship Id="rId1" Type="http://schemas.openxmlformats.org/officeDocument/2006/relationships/printerSettings" Target="../printerSettings/printerSettings8.bin"/><Relationship Id="rId6" Type="http://schemas.openxmlformats.org/officeDocument/2006/relationships/oleObject" Target="../embeddings/oleObject15.bin"/><Relationship Id="rId5" Type="http://schemas.openxmlformats.org/officeDocument/2006/relationships/image" Target="../media/image12.emf"/><Relationship Id="rId4" Type="http://schemas.openxmlformats.org/officeDocument/2006/relationships/oleObject" Target="../embeddings/oleObject14.bin"/></Relationships>
</file>

<file path=xl/worksheets/_rels/sheet9.xml.rels><?xml version="1.0" encoding="UTF-8" standalone="yes"?>
<Relationships xmlns="http://schemas.openxmlformats.org/package/2006/relationships"><Relationship Id="rId8" Type="http://schemas.openxmlformats.org/officeDocument/2006/relationships/oleObject" Target="../embeddings/oleObject18.bin"/><Relationship Id="rId13" Type="http://schemas.openxmlformats.org/officeDocument/2006/relationships/image" Target="../media/image18.emf"/><Relationship Id="rId3" Type="http://schemas.openxmlformats.org/officeDocument/2006/relationships/vmlDrawing" Target="../drawings/vmlDrawing9.vml"/><Relationship Id="rId7" Type="http://schemas.openxmlformats.org/officeDocument/2006/relationships/image" Target="../media/image15.emf"/><Relationship Id="rId12" Type="http://schemas.openxmlformats.org/officeDocument/2006/relationships/oleObject" Target="../embeddings/oleObject20.bin"/><Relationship Id="rId2" Type="http://schemas.openxmlformats.org/officeDocument/2006/relationships/drawing" Target="../drawings/drawing9.xml"/><Relationship Id="rId16" Type="http://schemas.openxmlformats.org/officeDocument/2006/relationships/comments" Target="../comments7.xml"/><Relationship Id="rId1" Type="http://schemas.openxmlformats.org/officeDocument/2006/relationships/printerSettings" Target="../printerSettings/printerSettings9.bin"/><Relationship Id="rId6" Type="http://schemas.openxmlformats.org/officeDocument/2006/relationships/oleObject" Target="../embeddings/oleObject17.bin"/><Relationship Id="rId11" Type="http://schemas.openxmlformats.org/officeDocument/2006/relationships/image" Target="../media/image17.emf"/><Relationship Id="rId5" Type="http://schemas.openxmlformats.org/officeDocument/2006/relationships/image" Target="../media/image14.emf"/><Relationship Id="rId15" Type="http://schemas.openxmlformats.org/officeDocument/2006/relationships/image" Target="../media/image19.emf"/><Relationship Id="rId10" Type="http://schemas.openxmlformats.org/officeDocument/2006/relationships/oleObject" Target="../embeddings/oleObject19.bin"/><Relationship Id="rId4" Type="http://schemas.openxmlformats.org/officeDocument/2006/relationships/oleObject" Target="../embeddings/oleObject16.bin"/><Relationship Id="rId9" Type="http://schemas.openxmlformats.org/officeDocument/2006/relationships/image" Target="../media/image16.emf"/><Relationship Id="rId14" Type="http://schemas.openxmlformats.org/officeDocument/2006/relationships/oleObject" Target="../embeddings/oleObject21.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10.vml"/><Relationship Id="rId7" Type="http://schemas.openxmlformats.org/officeDocument/2006/relationships/image" Target="../media/image21.emf"/><Relationship Id="rId2" Type="http://schemas.openxmlformats.org/officeDocument/2006/relationships/drawing" Target="../drawings/drawing10.xml"/><Relationship Id="rId1" Type="http://schemas.openxmlformats.org/officeDocument/2006/relationships/printerSettings" Target="../printerSettings/printerSettings10.bin"/><Relationship Id="rId6" Type="http://schemas.openxmlformats.org/officeDocument/2006/relationships/oleObject" Target="../embeddings/oleObject23.bin"/><Relationship Id="rId5" Type="http://schemas.openxmlformats.org/officeDocument/2006/relationships/image" Target="../media/image20.emf"/><Relationship Id="rId4" Type="http://schemas.openxmlformats.org/officeDocument/2006/relationships/oleObject" Target="../embeddings/oleObject2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P49"/>
  <sheetViews>
    <sheetView zoomScale="75" workbookViewId="0">
      <selection activeCell="B14" sqref="B14"/>
    </sheetView>
  </sheetViews>
  <sheetFormatPr defaultColWidth="10" defaultRowHeight="10.5" x14ac:dyDescent="0.2"/>
  <cols>
    <col min="1" max="1" width="20" style="56" customWidth="1"/>
    <col min="2" max="2" width="17.28515625" style="56" customWidth="1"/>
    <col min="3" max="3" width="22.85546875" style="56" customWidth="1"/>
    <col min="4" max="4" width="24.28515625" style="56" customWidth="1"/>
    <col min="5" max="5" width="25.28515625" style="56" customWidth="1"/>
    <col min="6" max="6" width="22" style="56" customWidth="1"/>
    <col min="7" max="7" width="21.7109375" style="56" customWidth="1"/>
    <col min="8" max="10" width="22.28515625" style="56" customWidth="1"/>
    <col min="11" max="15" width="15.140625" style="56" customWidth="1"/>
    <col min="16" max="16" width="21.28515625" style="56" customWidth="1"/>
    <col min="17" max="16384" width="10" style="56"/>
  </cols>
  <sheetData>
    <row r="1" spans="1:7" ht="57" customHeight="1" x14ac:dyDescent="0.2">
      <c r="A1" s="55" t="s">
        <v>112</v>
      </c>
      <c r="C1" s="57" t="s">
        <v>106</v>
      </c>
    </row>
    <row r="2" spans="1:7" ht="54" customHeight="1" x14ac:dyDescent="0.2">
      <c r="C2" s="58" t="s">
        <v>35</v>
      </c>
    </row>
    <row r="3" spans="1:7" ht="30" customHeight="1" x14ac:dyDescent="0.2">
      <c r="C3" s="59"/>
      <c r="D3" s="60"/>
      <c r="F3" s="60"/>
      <c r="G3" s="60"/>
    </row>
    <row r="4" spans="1:7" ht="24" customHeight="1" x14ac:dyDescent="0.2">
      <c r="A4" s="61"/>
      <c r="B4" s="61"/>
      <c r="C4" s="62" t="s">
        <v>50</v>
      </c>
      <c r="D4" s="62"/>
      <c r="E4" s="63" t="s">
        <v>99</v>
      </c>
      <c r="F4" s="64"/>
      <c r="G4" s="65"/>
    </row>
    <row r="5" spans="1:7" ht="18" customHeight="1" x14ac:dyDescent="0.2">
      <c r="A5" s="66"/>
      <c r="B5" s="67"/>
      <c r="C5" s="62"/>
      <c r="D5" s="68"/>
      <c r="E5" s="69">
        <f>E7*0.5</f>
        <v>47.996640507435522</v>
      </c>
      <c r="F5" s="70"/>
      <c r="G5" s="29"/>
    </row>
    <row r="6" spans="1:7" ht="15.95" customHeight="1" x14ac:dyDescent="0.2">
      <c r="A6" s="71" t="s">
        <v>3</v>
      </c>
      <c r="B6" s="72" t="s">
        <v>1</v>
      </c>
      <c r="C6" s="73" t="s">
        <v>98</v>
      </c>
      <c r="D6" s="74" t="s">
        <v>100</v>
      </c>
      <c r="E6" s="74" t="s">
        <v>47</v>
      </c>
      <c r="F6" s="74" t="s">
        <v>48</v>
      </c>
      <c r="G6" s="29" t="str">
        <f>IF(SUM(D6:F6),SUM(D6:F6),"")</f>
        <v/>
      </c>
    </row>
    <row r="7" spans="1:7" ht="15.95" customHeight="1" x14ac:dyDescent="0.2">
      <c r="A7" s="36">
        <v>131.80000000000001</v>
      </c>
      <c r="B7" s="36">
        <v>9.0500000000000007</v>
      </c>
      <c r="C7" s="75">
        <f>(ASIN(E5/A7))*2</f>
        <v>0.74546717173462262</v>
      </c>
      <c r="D7" s="76">
        <f>DEGREES(C7)</f>
        <v>42.712122705948012</v>
      </c>
      <c r="E7" s="77">
        <f>SQRT(B8)*2</f>
        <v>95.993281014871044</v>
      </c>
      <c r="F7" s="77">
        <f>(A7*2*PI())/360*D7</f>
        <v>98.25257323462327</v>
      </c>
      <c r="G7" s="29" t="s">
        <v>103</v>
      </c>
    </row>
    <row r="8" spans="1:7" ht="13.5" customHeight="1" x14ac:dyDescent="0.2">
      <c r="A8" s="78"/>
      <c r="B8" s="79">
        <f>B7*(2*A7-B7)</f>
        <v>2303.6775000000002</v>
      </c>
      <c r="C8" s="78"/>
      <c r="D8" s="68"/>
      <c r="E8" s="74"/>
      <c r="F8" s="68"/>
      <c r="G8" s="29" t="str">
        <f>IF(SUM(D8:F8),SUM(D8:F8),"")</f>
        <v/>
      </c>
    </row>
    <row r="9" spans="1:7" ht="33.950000000000003" customHeight="1" x14ac:dyDescent="0.2">
      <c r="A9" s="80"/>
      <c r="B9" s="38"/>
      <c r="C9" s="81" t="s">
        <v>101</v>
      </c>
      <c r="D9" s="82"/>
      <c r="E9" s="37"/>
      <c r="F9" s="37"/>
      <c r="G9" s="29" t="str">
        <f>IF(SUM(C9:F9),SUM(C9:F9),"")</f>
        <v/>
      </c>
    </row>
    <row r="10" spans="1:7" ht="15.95" customHeight="1" x14ac:dyDescent="0.2">
      <c r="A10" s="83" t="s">
        <v>0</v>
      </c>
      <c r="B10" s="83" t="s">
        <v>1</v>
      </c>
      <c r="C10" s="38"/>
      <c r="D10" s="37"/>
      <c r="E10" s="84" t="s">
        <v>2</v>
      </c>
      <c r="F10" s="85" t="s">
        <v>48</v>
      </c>
      <c r="G10" s="29" t="str">
        <f>IF(SUM(D10:F10),SUM(D10:F10),"")</f>
        <v/>
      </c>
    </row>
    <row r="11" spans="1:7" ht="19.7" customHeight="1" x14ac:dyDescent="0.2">
      <c r="A11" s="36">
        <v>96</v>
      </c>
      <c r="B11" s="36">
        <v>9.0500000000000007</v>
      </c>
      <c r="C11" s="86">
        <f>ATAN(B11/(A11/2))*2</f>
        <v>0.37270809826862161</v>
      </c>
      <c r="D11" s="86">
        <f>TAN(1.5708-C11)*(A11/2)</f>
        <v>122.76914738748108</v>
      </c>
      <c r="E11" s="87">
        <f>SQRT((D11^2)+(A11/2)^2)</f>
        <v>131.81905609679146</v>
      </c>
      <c r="F11" s="87">
        <f>E11*C11*2</f>
        <v>98.260059426799785</v>
      </c>
      <c r="G11" s="29" t="s">
        <v>104</v>
      </c>
    </row>
    <row r="12" spans="1:7" ht="19.7" customHeight="1" x14ac:dyDescent="0.2">
      <c r="A12" s="88"/>
      <c r="B12" s="88"/>
      <c r="C12" s="89"/>
      <c r="D12" s="89"/>
      <c r="E12" s="90"/>
      <c r="F12" s="87"/>
      <c r="G12" s="29"/>
    </row>
    <row r="13" spans="1:7" ht="28.5" customHeight="1" x14ac:dyDescent="0.2">
      <c r="A13" s="91"/>
      <c r="B13" s="91"/>
      <c r="C13" s="92" t="s">
        <v>50</v>
      </c>
      <c r="D13" s="91"/>
      <c r="E13" s="93" t="s">
        <v>97</v>
      </c>
      <c r="F13" s="94" t="s">
        <v>96</v>
      </c>
      <c r="G13" s="29"/>
    </row>
    <row r="14" spans="1:7" ht="21" customHeight="1" x14ac:dyDescent="0.2">
      <c r="A14" s="91"/>
      <c r="B14" s="91"/>
      <c r="C14" s="95"/>
      <c r="D14" s="92"/>
      <c r="E14" s="96">
        <f>A16/2</f>
        <v>18</v>
      </c>
      <c r="F14" s="97">
        <f>SQRT((B16^2)-(E14^2))</f>
        <v>18.761663039293719</v>
      </c>
      <c r="G14" s="29"/>
    </row>
    <row r="15" spans="1:7" ht="27.2" customHeight="1" x14ac:dyDescent="0.2">
      <c r="A15" s="98" t="s">
        <v>47</v>
      </c>
      <c r="B15" s="98" t="s">
        <v>2</v>
      </c>
      <c r="C15" s="93" t="s">
        <v>98</v>
      </c>
      <c r="D15" s="93" t="s">
        <v>95</v>
      </c>
      <c r="E15" s="99" t="s">
        <v>102</v>
      </c>
      <c r="F15" s="100" t="s">
        <v>48</v>
      </c>
      <c r="G15" s="29"/>
    </row>
    <row r="16" spans="1:7" ht="22.5" customHeight="1" x14ac:dyDescent="0.2">
      <c r="A16" s="35">
        <v>36</v>
      </c>
      <c r="B16" s="34">
        <v>26</v>
      </c>
      <c r="C16" s="97">
        <f>(ASIN(E14/B16))*2</f>
        <v>1.5293643557253405</v>
      </c>
      <c r="D16" s="96">
        <f>DEGREES(C16)</f>
        <v>87.62612292080631</v>
      </c>
      <c r="E16" s="101">
        <f>B16-F14</f>
        <v>7.2383369607062811</v>
      </c>
      <c r="F16" s="96">
        <f>(B16*2*PI())/360*D16</f>
        <v>39.763473248858858</v>
      </c>
      <c r="G16" s="29"/>
    </row>
    <row r="17" spans="1:16" ht="19.7" customHeight="1" x14ac:dyDescent="0.2">
      <c r="A17" s="102"/>
      <c r="B17" s="103"/>
      <c r="C17" s="98"/>
      <c r="D17" s="104"/>
      <c r="E17" s="100"/>
      <c r="F17" s="104"/>
      <c r="G17" s="29"/>
      <c r="H17" s="65"/>
      <c r="I17" s="65"/>
      <c r="J17" s="65"/>
      <c r="L17" s="32"/>
      <c r="P17" s="32"/>
    </row>
    <row r="18" spans="1:16" ht="12.95" customHeight="1" x14ac:dyDescent="0.2">
      <c r="A18" s="105"/>
      <c r="B18" s="30"/>
      <c r="C18" s="105"/>
      <c r="D18" s="30"/>
      <c r="E18" s="27"/>
      <c r="F18" s="30"/>
      <c r="G18" s="30"/>
      <c r="H18" s="106"/>
      <c r="I18" s="30"/>
      <c r="J18" s="106"/>
      <c r="K18" s="27"/>
      <c r="L18" s="33"/>
      <c r="M18" s="27"/>
      <c r="N18" s="27"/>
      <c r="O18" s="27"/>
      <c r="P18" s="33"/>
    </row>
    <row r="19" spans="1:16" s="59" customFormat="1" ht="20.25" customHeight="1" x14ac:dyDescent="0.2">
      <c r="A19" s="107"/>
      <c r="B19" s="108"/>
      <c r="C19" s="31"/>
      <c r="D19" s="31"/>
      <c r="E19" s="107"/>
      <c r="F19" s="31"/>
      <c r="G19" s="31"/>
      <c r="H19" s="65"/>
      <c r="J19" s="65"/>
      <c r="K19" s="27"/>
      <c r="M19" s="32"/>
      <c r="N19" s="31"/>
      <c r="O19" s="31"/>
    </row>
    <row r="20" spans="1:16" s="110" customFormat="1" ht="32.25" customHeight="1" x14ac:dyDescent="0.2">
      <c r="A20" s="109"/>
      <c r="B20" s="27"/>
      <c r="C20" s="109"/>
      <c r="E20" s="111"/>
      <c r="F20" s="27"/>
      <c r="G20" s="27"/>
      <c r="H20" s="28"/>
      <c r="I20" s="30"/>
      <c r="J20" s="28"/>
      <c r="K20" s="30"/>
      <c r="L20" s="30"/>
      <c r="M20" s="33"/>
      <c r="N20" s="27"/>
      <c r="O20" s="27"/>
      <c r="P20" s="27"/>
    </row>
    <row r="21" spans="1:16" s="32" customFormat="1" ht="16.5" customHeight="1" x14ac:dyDescent="0.2">
      <c r="A21" s="106"/>
      <c r="B21" s="106"/>
      <c r="C21" s="106"/>
    </row>
    <row r="22" spans="1:16" s="32" customFormat="1" ht="30" customHeight="1" x14ac:dyDescent="0.2"/>
    <row r="23" spans="1:16" ht="30" customHeight="1" x14ac:dyDescent="0.2">
      <c r="A23" s="105"/>
      <c r="B23" s="30"/>
      <c r="C23" s="30"/>
      <c r="D23" s="30"/>
      <c r="E23" s="105"/>
      <c r="F23" s="30"/>
      <c r="G23" s="30"/>
      <c r="H23" s="33"/>
      <c r="I23" s="33"/>
      <c r="J23" s="33"/>
      <c r="K23" s="30"/>
      <c r="L23" s="30"/>
      <c r="M23" s="30"/>
      <c r="N23" s="30"/>
      <c r="O23" s="30"/>
      <c r="P23" s="33"/>
    </row>
    <row r="24" spans="1:16" ht="21.75" customHeight="1" x14ac:dyDescent="0.2">
      <c r="A24" s="105"/>
      <c r="B24" s="30"/>
      <c r="C24" s="30"/>
      <c r="D24" s="112"/>
      <c r="E24" s="105"/>
      <c r="F24" s="30"/>
      <c r="G24" s="30"/>
      <c r="H24" s="33"/>
      <c r="I24" s="33"/>
      <c r="J24" s="33"/>
      <c r="K24" s="30"/>
      <c r="L24" s="30"/>
      <c r="M24" s="30"/>
      <c r="N24" s="30"/>
      <c r="O24" s="30"/>
      <c r="P24" s="33"/>
    </row>
    <row r="25" spans="1:16" ht="60.75" customHeight="1" x14ac:dyDescent="0.2">
      <c r="A25" s="113"/>
      <c r="B25" s="30"/>
      <c r="C25" s="114"/>
      <c r="D25" s="28"/>
      <c r="E25" s="28"/>
      <c r="F25" s="114"/>
      <c r="G25" s="28"/>
      <c r="H25" s="114"/>
      <c r="I25" s="114"/>
      <c r="J25" s="114"/>
      <c r="K25" s="30"/>
      <c r="L25" s="30"/>
      <c r="M25" s="30"/>
      <c r="N25" s="30"/>
      <c r="O25" s="30"/>
      <c r="P25" s="33"/>
    </row>
    <row r="26" spans="1:16" ht="33.950000000000003" customHeight="1" x14ac:dyDescent="0.2">
      <c r="A26" s="105"/>
      <c r="B26" s="30"/>
      <c r="C26" s="105"/>
      <c r="D26" s="30"/>
      <c r="E26" s="30"/>
      <c r="F26" s="106"/>
      <c r="G26" s="30"/>
      <c r="H26" s="106"/>
      <c r="I26" s="33"/>
      <c r="J26" s="33"/>
      <c r="K26" s="30"/>
      <c r="L26" s="30"/>
      <c r="M26" s="30"/>
      <c r="N26" s="30"/>
      <c r="O26" s="30"/>
      <c r="P26" s="33"/>
    </row>
    <row r="27" spans="1:16" ht="53.25" customHeight="1" x14ac:dyDescent="0.2">
      <c r="A27" s="105"/>
      <c r="B27" s="115"/>
      <c r="C27" s="30"/>
      <c r="D27" s="30"/>
      <c r="E27" s="105"/>
      <c r="F27" s="30"/>
      <c r="G27" s="30"/>
      <c r="H27" s="33"/>
      <c r="I27" s="33"/>
      <c r="J27" s="33"/>
      <c r="K27" s="30"/>
      <c r="L27" s="30"/>
      <c r="M27" s="30"/>
      <c r="N27" s="30"/>
      <c r="O27" s="30"/>
      <c r="P27" s="33"/>
    </row>
    <row r="28" spans="1:16" ht="27.75" customHeight="1" x14ac:dyDescent="0.2">
      <c r="A28" s="27"/>
      <c r="B28" s="30"/>
      <c r="C28" s="27"/>
      <c r="D28" s="116"/>
      <c r="E28" s="105"/>
      <c r="F28" s="30"/>
      <c r="G28" s="30"/>
      <c r="H28" s="33"/>
      <c r="I28" s="33"/>
      <c r="J28" s="33"/>
      <c r="K28" s="30"/>
      <c r="L28" s="30"/>
      <c r="M28" s="30"/>
      <c r="N28" s="30"/>
      <c r="O28" s="30"/>
      <c r="P28" s="33"/>
    </row>
    <row r="29" spans="1:16" ht="29.25" customHeight="1" x14ac:dyDescent="0.2">
      <c r="A29" s="106"/>
      <c r="C29" s="106"/>
      <c r="D29" s="30"/>
      <c r="E29" s="117"/>
      <c r="F29" s="30"/>
      <c r="G29" s="30"/>
      <c r="H29" s="32"/>
      <c r="I29" s="32"/>
      <c r="J29" s="32"/>
      <c r="K29" s="30"/>
      <c r="L29" s="30"/>
      <c r="M29" s="30"/>
      <c r="N29" s="30"/>
      <c r="O29" s="30"/>
      <c r="P29" s="32"/>
    </row>
    <row r="30" spans="1:16" ht="36.75" customHeight="1" x14ac:dyDescent="0.2">
      <c r="A30" s="105"/>
      <c r="B30" s="30"/>
      <c r="C30" s="27"/>
      <c r="D30" s="30"/>
      <c r="E30" s="105"/>
      <c r="F30" s="30"/>
      <c r="G30" s="30"/>
      <c r="H30" s="33"/>
      <c r="I30" s="33"/>
      <c r="J30" s="33"/>
      <c r="K30" s="30"/>
      <c r="L30" s="30"/>
      <c r="M30" s="30"/>
      <c r="N30" s="30"/>
      <c r="O30" s="30"/>
      <c r="P30" s="33"/>
    </row>
    <row r="31" spans="1:16" ht="99.75" customHeight="1" x14ac:dyDescent="0.2">
      <c r="A31" s="118"/>
      <c r="B31" s="33"/>
      <c r="C31" s="59"/>
      <c r="D31" s="29"/>
      <c r="E31" s="29"/>
      <c r="F31" s="29"/>
      <c r="G31" s="29"/>
    </row>
    <row r="32" spans="1:16" ht="12.95" customHeight="1" x14ac:dyDescent="0.2">
      <c r="A32" s="119"/>
      <c r="B32" s="32"/>
      <c r="C32" s="32"/>
      <c r="D32" s="117"/>
      <c r="E32" s="29"/>
      <c r="F32" s="29"/>
      <c r="G32" s="29"/>
    </row>
    <row r="33" spans="1:7" ht="12.95" customHeight="1" x14ac:dyDescent="0.2">
      <c r="A33" s="105"/>
      <c r="B33" s="105"/>
      <c r="C33" s="30"/>
      <c r="D33" s="106"/>
      <c r="E33" s="29"/>
      <c r="F33" s="29"/>
      <c r="G33" s="29"/>
    </row>
    <row r="34" spans="1:7" ht="185.45" customHeight="1" x14ac:dyDescent="0.2">
      <c r="A34" s="33"/>
      <c r="B34" s="33"/>
      <c r="C34" s="30"/>
      <c r="D34" s="33"/>
      <c r="E34" s="29"/>
      <c r="F34" s="29"/>
      <c r="G34" s="29"/>
    </row>
    <row r="35" spans="1:7" ht="56.25" customHeight="1" x14ac:dyDescent="0.2">
      <c r="A35" s="118"/>
      <c r="B35" s="33"/>
      <c r="C35" s="59"/>
      <c r="D35" s="29"/>
      <c r="E35" s="29"/>
      <c r="F35" s="29"/>
      <c r="G35" s="29"/>
    </row>
    <row r="36" spans="1:7" ht="12.95" customHeight="1" x14ac:dyDescent="0.2">
      <c r="A36" s="119"/>
      <c r="B36" s="32"/>
      <c r="C36" s="32"/>
      <c r="D36" s="29"/>
      <c r="E36" s="29"/>
      <c r="F36" s="29"/>
      <c r="G36" s="29"/>
    </row>
    <row r="37" spans="1:7" ht="12.95" customHeight="1" x14ac:dyDescent="0.2">
      <c r="A37" s="105"/>
      <c r="B37" s="33"/>
      <c r="C37" s="106"/>
      <c r="D37" s="29"/>
      <c r="E37" s="29"/>
      <c r="F37" s="29"/>
      <c r="G37" s="29"/>
    </row>
    <row r="38" spans="1:7" ht="209.25" customHeight="1" x14ac:dyDescent="0.2">
      <c r="A38" s="33"/>
      <c r="B38" s="33"/>
      <c r="C38" s="33"/>
      <c r="D38" s="29"/>
      <c r="E38" s="29"/>
      <c r="F38" s="29"/>
      <c r="G38" s="29"/>
    </row>
    <row r="39" spans="1:7" ht="33.950000000000003" customHeight="1" x14ac:dyDescent="0.2">
      <c r="A39" s="118"/>
      <c r="B39" s="33"/>
      <c r="C39" s="120"/>
      <c r="D39" s="29"/>
      <c r="E39" s="29"/>
      <c r="F39" s="29"/>
      <c r="G39" s="29"/>
    </row>
    <row r="40" spans="1:7" ht="12.95" customHeight="1" x14ac:dyDescent="0.2">
      <c r="A40" s="121"/>
      <c r="B40" s="122"/>
      <c r="D40" s="29"/>
      <c r="E40" s="29"/>
      <c r="F40" s="29"/>
      <c r="G40" s="29"/>
    </row>
    <row r="41" spans="1:7" ht="12.95" customHeight="1" x14ac:dyDescent="0.2">
      <c r="A41" s="105"/>
      <c r="B41" s="105"/>
      <c r="C41" s="106"/>
      <c r="D41" s="29"/>
      <c r="E41" s="29"/>
      <c r="F41" s="29"/>
      <c r="G41" s="29"/>
    </row>
    <row r="42" spans="1:7" ht="126.75" customHeight="1" x14ac:dyDescent="0.2">
      <c r="A42" s="118"/>
      <c r="B42" s="33"/>
      <c r="C42" s="33"/>
      <c r="D42" s="29"/>
      <c r="E42" s="29"/>
      <c r="F42" s="29"/>
      <c r="G42" s="29"/>
    </row>
    <row r="43" spans="1:7" ht="12.95" customHeight="1" x14ac:dyDescent="0.2">
      <c r="A43" s="118"/>
      <c r="B43" s="33"/>
      <c r="C43" s="33"/>
      <c r="D43" s="29"/>
      <c r="E43" s="29"/>
      <c r="F43" s="29"/>
      <c r="G43" s="29" t="str">
        <f>IF(SUM(D43:F43),SUM(D43:F43),"")</f>
        <v/>
      </c>
    </row>
    <row r="44" spans="1:7" ht="12.95" customHeight="1" x14ac:dyDescent="0.2">
      <c r="A44" s="123"/>
      <c r="B44" s="33"/>
      <c r="C44" s="124"/>
      <c r="D44" s="29"/>
      <c r="E44" s="29"/>
      <c r="F44" s="29"/>
      <c r="G44" s="29" t="str">
        <f>IF(SUM(D44:F44),SUM(D44:F44),"")</f>
        <v/>
      </c>
    </row>
    <row r="45" spans="1:7" ht="12.95" customHeight="1" x14ac:dyDescent="0.2">
      <c r="A45" s="118"/>
      <c r="B45" s="33"/>
      <c r="C45" s="124"/>
      <c r="D45" s="29"/>
      <c r="E45" s="29"/>
      <c r="F45" s="29"/>
      <c r="G45" s="29" t="str">
        <f>IF(SUM(D45:F45),SUM(D45:F45),"")</f>
        <v/>
      </c>
    </row>
    <row r="46" spans="1:7" ht="12.95" customHeight="1" x14ac:dyDescent="0.2">
      <c r="A46" s="118"/>
      <c r="B46" s="33"/>
      <c r="C46" s="124"/>
      <c r="D46" s="29"/>
      <c r="E46" s="29"/>
      <c r="F46" s="29"/>
      <c r="G46" s="29" t="str">
        <f>IF(SUM(D46:F46),SUM(D46:F46),"")</f>
        <v/>
      </c>
    </row>
    <row r="47" spans="1:7" ht="12.95" customHeight="1" x14ac:dyDescent="0.2">
      <c r="A47" s="118"/>
      <c r="B47" s="33"/>
      <c r="C47" s="124"/>
      <c r="D47" s="29"/>
      <c r="E47" s="29"/>
      <c r="F47" s="29"/>
      <c r="G47" s="29" t="str">
        <f>IF(SUM(D47:F47),SUM(D47:F47),"")</f>
        <v/>
      </c>
    </row>
    <row r="48" spans="1:7" ht="14.25" customHeight="1" x14ac:dyDescent="0.2">
      <c r="A48" s="32"/>
      <c r="B48" s="125"/>
      <c r="C48" s="33"/>
      <c r="D48" s="33"/>
      <c r="E48" s="33"/>
      <c r="F48" s="33"/>
      <c r="G48" s="33"/>
    </row>
    <row r="49" spans="1:7" ht="12.95" customHeight="1" x14ac:dyDescent="0.2">
      <c r="A49" s="33"/>
      <c r="B49" s="33"/>
      <c r="C49" s="33"/>
      <c r="D49" s="33"/>
      <c r="E49" s="32"/>
      <c r="F49" s="33"/>
      <c r="G49" s="29"/>
    </row>
  </sheetData>
  <sheetProtection sheet="1" objects="1" scenarios="1"/>
  <phoneticPr fontId="0" type="noConversion"/>
  <pageMargins left="0.75" right="0.75" top="0.75" bottom="1" header="0.5" footer="0.75"/>
  <pageSetup paperSize="5" orientation="landscape" horizontalDpi="360" verticalDpi="300" r:id="rId1"/>
  <headerFooter alignWithMargins="0"/>
  <drawing r:id="rId2"/>
  <legacyDrawing r:id="rId3"/>
  <oleObjects>
    <mc:AlternateContent xmlns:mc="http://schemas.openxmlformats.org/markup-compatibility/2006">
      <mc:Choice Requires="x14">
        <oleObject progId="QuickCAD.Drawing.6" shapeId="1030" r:id="rId4">
          <objectPr defaultSize="0" autoPict="0" r:id="rId5">
            <anchor moveWithCells="1">
              <from>
                <xdr:col>3</xdr:col>
                <xdr:colOff>1400175</xdr:colOff>
                <xdr:row>0</xdr:row>
                <xdr:rowOff>57150</xdr:rowOff>
              </from>
              <to>
                <xdr:col>6</xdr:col>
                <xdr:colOff>9525</xdr:colOff>
                <xdr:row>3</xdr:row>
                <xdr:rowOff>0</xdr:rowOff>
              </to>
            </anchor>
          </objectPr>
        </oleObject>
      </mc:Choice>
      <mc:Fallback>
        <oleObject progId="QuickCAD.Drawing.6" shapeId="1030" r:id="rId4"/>
      </mc:Fallback>
    </mc:AlternateContent>
  </oleObjec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57"/>
  <sheetViews>
    <sheetView workbookViewId="0">
      <selection activeCell="B8" sqref="B8"/>
    </sheetView>
  </sheetViews>
  <sheetFormatPr defaultColWidth="8.85546875" defaultRowHeight="11.25" x14ac:dyDescent="0.2"/>
  <cols>
    <col min="1" max="1" width="14.28515625" style="50" customWidth="1"/>
    <col min="2" max="2" width="15.28515625" style="50" customWidth="1"/>
    <col min="3" max="16384" width="8.85546875" style="50"/>
  </cols>
  <sheetData>
    <row r="1" spans="1:2" ht="16.350000000000001" customHeight="1" x14ac:dyDescent="0.2"/>
    <row r="2" spans="1:2" ht="36.4" customHeight="1" x14ac:dyDescent="0.2">
      <c r="A2" s="51" t="s">
        <v>147</v>
      </c>
      <c r="B2" s="51" t="s">
        <v>149</v>
      </c>
    </row>
    <row r="3" spans="1:2" x14ac:dyDescent="0.2">
      <c r="A3" s="132">
        <v>16</v>
      </c>
      <c r="B3" s="53">
        <f>360/A3</f>
        <v>22.5</v>
      </c>
    </row>
    <row r="4" spans="1:2" ht="25.15" customHeight="1" x14ac:dyDescent="0.2">
      <c r="A4" s="51" t="s">
        <v>148</v>
      </c>
      <c r="B4" s="51" t="s">
        <v>150</v>
      </c>
    </row>
    <row r="5" spans="1:2" x14ac:dyDescent="0.2">
      <c r="A5" s="132">
        <v>12</v>
      </c>
      <c r="B5" s="53">
        <f>A5*PI()</f>
        <v>37.699111843077517</v>
      </c>
    </row>
    <row r="6" spans="1:2" ht="28.9" customHeight="1" x14ac:dyDescent="0.2">
      <c r="A6" s="51" t="s">
        <v>151</v>
      </c>
      <c r="B6" s="51" t="s">
        <v>152</v>
      </c>
    </row>
    <row r="7" spans="1:2" x14ac:dyDescent="0.2">
      <c r="A7" s="53">
        <f>B3/2</f>
        <v>11.25</v>
      </c>
      <c r="B7" s="53">
        <f>B3</f>
        <v>22.5</v>
      </c>
    </row>
    <row r="8" spans="1:2" x14ac:dyDescent="0.2">
      <c r="A8" s="52"/>
      <c r="B8" s="52"/>
    </row>
    <row r="9" spans="1:2" x14ac:dyDescent="0.2">
      <c r="A9" s="52"/>
      <c r="B9" s="52"/>
    </row>
    <row r="10" spans="1:2" x14ac:dyDescent="0.2">
      <c r="A10" s="52"/>
      <c r="B10" s="52"/>
    </row>
    <row r="11" spans="1:2" x14ac:dyDescent="0.2">
      <c r="A11" s="52"/>
      <c r="B11" s="52"/>
    </row>
    <row r="12" spans="1:2" x14ac:dyDescent="0.2">
      <c r="A12" s="52"/>
      <c r="B12" s="52"/>
    </row>
    <row r="13" spans="1:2" x14ac:dyDescent="0.2">
      <c r="A13" s="52"/>
      <c r="B13" s="52"/>
    </row>
    <row r="14" spans="1:2" x14ac:dyDescent="0.2">
      <c r="A14" s="52"/>
      <c r="B14" s="52"/>
    </row>
    <row r="15" spans="1:2" x14ac:dyDescent="0.2">
      <c r="A15" s="52"/>
      <c r="B15" s="52"/>
    </row>
    <row r="16" spans="1:2" x14ac:dyDescent="0.2">
      <c r="A16" s="52"/>
      <c r="B16" s="52"/>
    </row>
    <row r="17" spans="1:2" x14ac:dyDescent="0.2">
      <c r="A17" s="52"/>
      <c r="B17" s="52"/>
    </row>
    <row r="18" spans="1:2" x14ac:dyDescent="0.2">
      <c r="A18" s="52"/>
      <c r="B18" s="52"/>
    </row>
    <row r="19" spans="1:2" x14ac:dyDescent="0.2">
      <c r="A19" s="52"/>
      <c r="B19" s="52"/>
    </row>
    <row r="20" spans="1:2" x14ac:dyDescent="0.2">
      <c r="A20" s="52"/>
      <c r="B20" s="52"/>
    </row>
    <row r="21" spans="1:2" x14ac:dyDescent="0.2">
      <c r="A21" s="52"/>
      <c r="B21" s="52"/>
    </row>
    <row r="22" spans="1:2" x14ac:dyDescent="0.2">
      <c r="A22" s="52"/>
      <c r="B22" s="52"/>
    </row>
    <row r="23" spans="1:2" x14ac:dyDescent="0.2">
      <c r="A23" s="52"/>
      <c r="B23" s="52"/>
    </row>
    <row r="24" spans="1:2" x14ac:dyDescent="0.2">
      <c r="A24" s="52"/>
      <c r="B24" s="52"/>
    </row>
    <row r="25" spans="1:2" x14ac:dyDescent="0.2">
      <c r="A25" s="52"/>
      <c r="B25" s="52"/>
    </row>
    <row r="26" spans="1:2" x14ac:dyDescent="0.2">
      <c r="A26" s="52"/>
      <c r="B26" s="52"/>
    </row>
    <row r="27" spans="1:2" x14ac:dyDescent="0.2">
      <c r="A27" s="52"/>
      <c r="B27" s="52"/>
    </row>
    <row r="28" spans="1:2" x14ac:dyDescent="0.2">
      <c r="A28" s="52"/>
      <c r="B28" s="52"/>
    </row>
    <row r="29" spans="1:2" x14ac:dyDescent="0.2">
      <c r="A29" s="52"/>
      <c r="B29" s="52"/>
    </row>
    <row r="30" spans="1:2" x14ac:dyDescent="0.2">
      <c r="A30" s="52"/>
      <c r="B30" s="52"/>
    </row>
    <row r="31" spans="1:2" x14ac:dyDescent="0.2">
      <c r="A31" s="52"/>
      <c r="B31" s="52"/>
    </row>
    <row r="32" spans="1:2" x14ac:dyDescent="0.2">
      <c r="A32" s="52"/>
      <c r="B32" s="52"/>
    </row>
    <row r="33" spans="1:2" x14ac:dyDescent="0.2">
      <c r="A33" s="52"/>
      <c r="B33" s="52"/>
    </row>
    <row r="34" spans="1:2" x14ac:dyDescent="0.2">
      <c r="A34" s="52"/>
      <c r="B34" s="52"/>
    </row>
    <row r="35" spans="1:2" x14ac:dyDescent="0.2">
      <c r="A35" s="52"/>
      <c r="B35" s="52"/>
    </row>
    <row r="36" spans="1:2" x14ac:dyDescent="0.2">
      <c r="A36" s="52"/>
      <c r="B36" s="52"/>
    </row>
    <row r="37" spans="1:2" x14ac:dyDescent="0.2">
      <c r="A37" s="52"/>
      <c r="B37" s="52"/>
    </row>
    <row r="38" spans="1:2" x14ac:dyDescent="0.2">
      <c r="A38" s="52"/>
      <c r="B38" s="52"/>
    </row>
    <row r="39" spans="1:2" x14ac:dyDescent="0.2">
      <c r="A39" s="52"/>
      <c r="B39" s="52"/>
    </row>
    <row r="40" spans="1:2" x14ac:dyDescent="0.2">
      <c r="A40" s="52"/>
      <c r="B40" s="52"/>
    </row>
    <row r="41" spans="1:2" x14ac:dyDescent="0.2">
      <c r="A41" s="52"/>
      <c r="B41" s="52"/>
    </row>
    <row r="42" spans="1:2" x14ac:dyDescent="0.2">
      <c r="A42" s="52"/>
      <c r="B42" s="52"/>
    </row>
    <row r="43" spans="1:2" x14ac:dyDescent="0.2">
      <c r="A43" s="52"/>
      <c r="B43" s="52"/>
    </row>
    <row r="44" spans="1:2" x14ac:dyDescent="0.2">
      <c r="A44" s="52"/>
      <c r="B44" s="52"/>
    </row>
    <row r="45" spans="1:2" x14ac:dyDescent="0.2">
      <c r="A45" s="52"/>
      <c r="B45" s="52"/>
    </row>
    <row r="46" spans="1:2" x14ac:dyDescent="0.2">
      <c r="A46" s="52"/>
      <c r="B46" s="52"/>
    </row>
    <row r="47" spans="1:2" x14ac:dyDescent="0.2">
      <c r="A47" s="52"/>
      <c r="B47" s="52"/>
    </row>
    <row r="48" spans="1:2" x14ac:dyDescent="0.2">
      <c r="A48" s="52"/>
      <c r="B48" s="52"/>
    </row>
    <row r="49" spans="1:2" x14ac:dyDescent="0.2">
      <c r="A49" s="52"/>
      <c r="B49" s="52"/>
    </row>
    <row r="50" spans="1:2" x14ac:dyDescent="0.2">
      <c r="A50" s="52"/>
      <c r="B50" s="52"/>
    </row>
    <row r="51" spans="1:2" x14ac:dyDescent="0.2">
      <c r="A51" s="52"/>
      <c r="B51" s="52"/>
    </row>
    <row r="52" spans="1:2" x14ac:dyDescent="0.2">
      <c r="A52" s="52"/>
      <c r="B52" s="52"/>
    </row>
    <row r="53" spans="1:2" x14ac:dyDescent="0.2">
      <c r="A53" s="52"/>
      <c r="B53" s="52"/>
    </row>
    <row r="54" spans="1:2" x14ac:dyDescent="0.2">
      <c r="A54" s="52"/>
      <c r="B54" s="52"/>
    </row>
    <row r="55" spans="1:2" x14ac:dyDescent="0.2">
      <c r="A55" s="52"/>
      <c r="B55" s="52"/>
    </row>
    <row r="56" spans="1:2" x14ac:dyDescent="0.2">
      <c r="A56" s="52"/>
      <c r="B56" s="52"/>
    </row>
    <row r="57" spans="1:2" x14ac:dyDescent="0.2">
      <c r="A57" s="52"/>
      <c r="B57" s="52"/>
    </row>
  </sheetData>
  <sheetProtection sheet="1" objects="1" scenarios="1"/>
  <phoneticPr fontId="0" type="noConversion"/>
  <pageMargins left="0.75" right="0.75" top="1" bottom="1" header="0.5" footer="0.5"/>
  <pageSetup orientation="portrait" horizontalDpi="300" verticalDpi="300" r:id="rId1"/>
  <headerFooter alignWithMargins="0"/>
  <drawing r:id="rId2"/>
  <legacyDrawing r:id="rId3"/>
  <oleObjects>
    <mc:AlternateContent xmlns:mc="http://schemas.openxmlformats.org/markup-compatibility/2006">
      <mc:Choice Requires="x14">
        <oleObject progId="QuickCAD.Drawing.6" shapeId="11265" r:id="rId4">
          <objectPr defaultSize="0" r:id="rId5">
            <anchor moveWithCells="1">
              <from>
                <xdr:col>2</xdr:col>
                <xdr:colOff>47625</xdr:colOff>
                <xdr:row>1</xdr:row>
                <xdr:rowOff>19050</xdr:rowOff>
              </from>
              <to>
                <xdr:col>11</xdr:col>
                <xdr:colOff>209550</xdr:colOff>
                <xdr:row>24</xdr:row>
                <xdr:rowOff>114300</xdr:rowOff>
              </to>
            </anchor>
          </objectPr>
        </oleObject>
      </mc:Choice>
      <mc:Fallback>
        <oleObject progId="QuickCAD.Drawing.6" shapeId="11265" r:id="rId4"/>
      </mc:Fallback>
    </mc:AlternateContent>
    <mc:AlternateContent xmlns:mc="http://schemas.openxmlformats.org/markup-compatibility/2006">
      <mc:Choice Requires="x14">
        <oleObject progId="QuickCAD.Drawing.6" shapeId="11266" r:id="rId6">
          <objectPr defaultSize="0" r:id="rId7">
            <anchor moveWithCells="1">
              <from>
                <xdr:col>2</xdr:col>
                <xdr:colOff>76200</xdr:colOff>
                <xdr:row>25</xdr:row>
                <xdr:rowOff>28575</xdr:rowOff>
              </from>
              <to>
                <xdr:col>11</xdr:col>
                <xdr:colOff>238125</xdr:colOff>
                <xdr:row>57</xdr:row>
                <xdr:rowOff>9525</xdr:rowOff>
              </to>
            </anchor>
          </objectPr>
        </oleObject>
      </mc:Choice>
      <mc:Fallback>
        <oleObject progId="QuickCAD.Drawing.6" shapeId="11266" r:id="rId6"/>
      </mc:Fallback>
    </mc:AlternateContent>
  </oleObjec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45"/>
  <sheetViews>
    <sheetView workbookViewId="0">
      <selection activeCell="C1" sqref="C1"/>
    </sheetView>
  </sheetViews>
  <sheetFormatPr defaultColWidth="8.85546875" defaultRowHeight="12.75" x14ac:dyDescent="0.2"/>
  <cols>
    <col min="1" max="1" width="16.85546875" style="133" customWidth="1"/>
    <col min="2" max="2" width="17.7109375" style="133" customWidth="1"/>
    <col min="3" max="3" width="15.5703125" style="133" customWidth="1"/>
    <col min="4" max="4" width="12.140625" style="133" customWidth="1"/>
    <col min="5" max="16384" width="8.85546875" style="133"/>
  </cols>
  <sheetData>
    <row r="1" spans="1:2" ht="35.1" customHeight="1" x14ac:dyDescent="0.2">
      <c r="B1" s="134" t="s">
        <v>141</v>
      </c>
    </row>
    <row r="2" spans="1:2" x14ac:dyDescent="0.2">
      <c r="A2" s="135" t="s">
        <v>142</v>
      </c>
      <c r="B2" s="135" t="s">
        <v>143</v>
      </c>
    </row>
    <row r="3" spans="1:2" x14ac:dyDescent="0.2">
      <c r="A3" s="49">
        <v>102.9</v>
      </c>
      <c r="B3" s="132">
        <v>14</v>
      </c>
    </row>
    <row r="4" spans="1:2" x14ac:dyDescent="0.2">
      <c r="A4" s="136" t="s">
        <v>145</v>
      </c>
      <c r="B4" s="136" t="s">
        <v>146</v>
      </c>
    </row>
    <row r="5" spans="1:2" x14ac:dyDescent="0.2">
      <c r="A5" s="49">
        <v>11</v>
      </c>
      <c r="B5" s="137">
        <f>A3/B3</f>
        <v>7.3500000000000005</v>
      </c>
    </row>
    <row r="6" spans="1:2" ht="22.5" x14ac:dyDescent="0.2">
      <c r="A6" s="138" t="s">
        <v>133</v>
      </c>
      <c r="B6" s="138" t="s">
        <v>134</v>
      </c>
    </row>
    <row r="7" spans="1:2" x14ac:dyDescent="0.2">
      <c r="A7" s="137">
        <f>ATAN(B5/A5)</f>
        <v>0.58905082119300423</v>
      </c>
      <c r="B7" s="137">
        <f>A7*180/(PI())</f>
        <v>33.750125973074454</v>
      </c>
    </row>
    <row r="8" spans="1:2" x14ac:dyDescent="0.2">
      <c r="A8" s="135" t="s">
        <v>144</v>
      </c>
      <c r="B8" s="135" t="s">
        <v>127</v>
      </c>
    </row>
    <row r="9" spans="1:2" x14ac:dyDescent="0.2">
      <c r="A9" s="139">
        <f>B3*A5</f>
        <v>154</v>
      </c>
      <c r="B9" s="139">
        <f>SQRT(A3^2+A9^2)</f>
        <v>185.21449727275672</v>
      </c>
    </row>
    <row r="10" spans="1:2" x14ac:dyDescent="0.2">
      <c r="A10" s="135"/>
      <c r="B10" s="135"/>
    </row>
    <row r="11" spans="1:2" x14ac:dyDescent="0.2">
      <c r="A11" s="135"/>
      <c r="B11" s="135"/>
    </row>
    <row r="12" spans="1:2" x14ac:dyDescent="0.2">
      <c r="A12" s="135"/>
      <c r="B12" s="135"/>
    </row>
    <row r="13" spans="1:2" x14ac:dyDescent="0.2">
      <c r="A13" s="135"/>
      <c r="B13" s="135"/>
    </row>
    <row r="14" spans="1:2" x14ac:dyDescent="0.2">
      <c r="A14" s="135"/>
      <c r="B14" s="135"/>
    </row>
    <row r="15" spans="1:2" x14ac:dyDescent="0.2">
      <c r="A15" s="135"/>
      <c r="B15" s="135"/>
    </row>
    <row r="16" spans="1:2" x14ac:dyDescent="0.2">
      <c r="A16" s="135"/>
      <c r="B16" s="135"/>
    </row>
    <row r="17" spans="1:2" x14ac:dyDescent="0.2">
      <c r="A17" s="135"/>
      <c r="B17" s="135"/>
    </row>
    <row r="18" spans="1:2" x14ac:dyDescent="0.2">
      <c r="A18" s="135"/>
      <c r="B18" s="135"/>
    </row>
    <row r="19" spans="1:2" x14ac:dyDescent="0.2">
      <c r="A19" s="135"/>
      <c r="B19" s="135"/>
    </row>
    <row r="20" spans="1:2" x14ac:dyDescent="0.2">
      <c r="A20" s="135"/>
      <c r="B20" s="135"/>
    </row>
    <row r="21" spans="1:2" x14ac:dyDescent="0.2">
      <c r="A21" s="135"/>
      <c r="B21" s="135"/>
    </row>
    <row r="22" spans="1:2" x14ac:dyDescent="0.2">
      <c r="A22" s="135"/>
      <c r="B22" s="135"/>
    </row>
    <row r="23" spans="1:2" x14ac:dyDescent="0.2">
      <c r="A23" s="135"/>
      <c r="B23" s="135"/>
    </row>
    <row r="24" spans="1:2" x14ac:dyDescent="0.2">
      <c r="A24" s="135"/>
      <c r="B24" s="135"/>
    </row>
    <row r="25" spans="1:2" x14ac:dyDescent="0.2">
      <c r="A25" s="135"/>
      <c r="B25" s="135"/>
    </row>
    <row r="26" spans="1:2" x14ac:dyDescent="0.2">
      <c r="A26" s="135"/>
      <c r="B26" s="135"/>
    </row>
    <row r="27" spans="1:2" x14ac:dyDescent="0.2">
      <c r="A27" s="135"/>
      <c r="B27" s="135"/>
    </row>
    <row r="28" spans="1:2" x14ac:dyDescent="0.2">
      <c r="A28" s="135"/>
      <c r="B28" s="135"/>
    </row>
    <row r="29" spans="1:2" x14ac:dyDescent="0.2">
      <c r="A29" s="135"/>
      <c r="B29" s="135"/>
    </row>
    <row r="30" spans="1:2" x14ac:dyDescent="0.2">
      <c r="A30" s="135"/>
      <c r="B30" s="135"/>
    </row>
    <row r="31" spans="1:2" x14ac:dyDescent="0.2">
      <c r="A31" s="135"/>
      <c r="B31" s="135"/>
    </row>
    <row r="32" spans="1:2" x14ac:dyDescent="0.2">
      <c r="A32" s="135"/>
      <c r="B32" s="135"/>
    </row>
    <row r="33" spans="1:2" x14ac:dyDescent="0.2">
      <c r="A33" s="135"/>
      <c r="B33" s="135"/>
    </row>
    <row r="34" spans="1:2" x14ac:dyDescent="0.2">
      <c r="A34" s="135"/>
      <c r="B34" s="135"/>
    </row>
    <row r="35" spans="1:2" x14ac:dyDescent="0.2">
      <c r="A35" s="135"/>
      <c r="B35" s="135"/>
    </row>
    <row r="36" spans="1:2" x14ac:dyDescent="0.2">
      <c r="A36" s="135"/>
      <c r="B36" s="135"/>
    </row>
    <row r="37" spans="1:2" x14ac:dyDescent="0.2">
      <c r="A37" s="135"/>
      <c r="B37" s="135"/>
    </row>
    <row r="38" spans="1:2" x14ac:dyDescent="0.2">
      <c r="A38" s="135"/>
      <c r="B38" s="135"/>
    </row>
    <row r="39" spans="1:2" x14ac:dyDescent="0.2">
      <c r="A39" s="135"/>
      <c r="B39" s="135"/>
    </row>
    <row r="40" spans="1:2" x14ac:dyDescent="0.2">
      <c r="A40" s="135"/>
      <c r="B40" s="135"/>
    </row>
    <row r="41" spans="1:2" x14ac:dyDescent="0.2">
      <c r="A41" s="135"/>
      <c r="B41" s="135"/>
    </row>
    <row r="42" spans="1:2" x14ac:dyDescent="0.2">
      <c r="A42" s="135"/>
      <c r="B42" s="135"/>
    </row>
    <row r="43" spans="1:2" x14ac:dyDescent="0.2">
      <c r="A43" s="135"/>
      <c r="B43" s="135"/>
    </row>
    <row r="44" spans="1:2" x14ac:dyDescent="0.2">
      <c r="A44" s="135"/>
      <c r="B44" s="135"/>
    </row>
    <row r="45" spans="1:2" x14ac:dyDescent="0.2">
      <c r="A45" s="135"/>
      <c r="B45" s="135"/>
    </row>
  </sheetData>
  <sheetProtection sheet="1" objects="1" scenarios="1"/>
  <phoneticPr fontId="0" type="noConversion"/>
  <pageMargins left="0.75" right="0.75" top="1" bottom="1" header="0.5" footer="0.5"/>
  <pageSetup orientation="portrait" horizontalDpi="300" verticalDpi="300" r:id="rId1"/>
  <headerFooter alignWithMargins="0"/>
  <drawing r:id="rId2"/>
  <legacyDrawing r:id="rId3"/>
  <oleObjects>
    <mc:AlternateContent xmlns:mc="http://schemas.openxmlformats.org/markup-compatibility/2006">
      <mc:Choice Requires="x14">
        <oleObject progId="QuickCAD.Drawing.6" shapeId="10241" r:id="rId4">
          <objectPr defaultSize="0" autoPict="0" r:id="rId5">
            <anchor moveWithCells="1">
              <from>
                <xdr:col>2</xdr:col>
                <xdr:colOff>66675</xdr:colOff>
                <xdr:row>1</xdr:row>
                <xdr:rowOff>19050</xdr:rowOff>
              </from>
              <to>
                <xdr:col>9</xdr:col>
                <xdr:colOff>390525</xdr:colOff>
                <xdr:row>23</xdr:row>
                <xdr:rowOff>76200</xdr:rowOff>
              </to>
            </anchor>
          </objectPr>
        </oleObject>
      </mc:Choice>
      <mc:Fallback>
        <oleObject progId="QuickCAD.Drawing.6" shapeId="10241" r:id="rId4"/>
      </mc:Fallback>
    </mc:AlternateContent>
    <mc:AlternateContent xmlns:mc="http://schemas.openxmlformats.org/markup-compatibility/2006">
      <mc:Choice Requires="x14">
        <oleObject progId="QuickCAD.Drawing.6" shapeId="10242" r:id="rId6">
          <objectPr defaultSize="0" autoPict="0" r:id="rId7">
            <anchor moveWithCells="1">
              <from>
                <xdr:col>2</xdr:col>
                <xdr:colOff>57150</xdr:colOff>
                <xdr:row>23</xdr:row>
                <xdr:rowOff>133350</xdr:rowOff>
              </from>
              <to>
                <xdr:col>9</xdr:col>
                <xdr:colOff>371475</xdr:colOff>
                <xdr:row>46</xdr:row>
                <xdr:rowOff>66675</xdr:rowOff>
              </to>
            </anchor>
          </objectPr>
        </oleObject>
      </mc:Choice>
      <mc:Fallback>
        <oleObject progId="QuickCAD.Drawing.6" shapeId="10242" r:id="rId6"/>
      </mc:Fallback>
    </mc:AlternateContent>
  </oleObjec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H28"/>
  <sheetViews>
    <sheetView workbookViewId="0"/>
  </sheetViews>
  <sheetFormatPr defaultColWidth="8.85546875" defaultRowHeight="12.75" x14ac:dyDescent="0.2"/>
  <cols>
    <col min="1" max="1" width="25.140625" style="140" customWidth="1"/>
    <col min="2" max="2" width="18.140625" style="140" customWidth="1"/>
    <col min="3" max="3" width="16.5703125" style="140" customWidth="1"/>
    <col min="4" max="4" width="3.28515625" style="140" customWidth="1"/>
    <col min="5" max="5" width="3.140625" style="140" customWidth="1"/>
    <col min="6" max="6" width="2.5703125" style="140" customWidth="1"/>
    <col min="7" max="7" width="8.85546875" style="140" hidden="1" customWidth="1"/>
    <col min="8" max="8" width="65.42578125" style="140" customWidth="1"/>
    <col min="9" max="16384" width="8.85546875" style="140"/>
  </cols>
  <sheetData>
    <row r="1" spans="1:8" ht="35.1" customHeight="1" x14ac:dyDescent="0.2">
      <c r="B1" s="134" t="s">
        <v>135</v>
      </c>
    </row>
    <row r="2" spans="1:8" ht="18" x14ac:dyDescent="0.2">
      <c r="A2" s="141"/>
      <c r="B2" s="142"/>
      <c r="C2" s="143"/>
    </row>
    <row r="3" spans="1:8" ht="31.9" customHeight="1" x14ac:dyDescent="0.2">
      <c r="A3" s="144" t="s">
        <v>124</v>
      </c>
      <c r="B3" s="144" t="s">
        <v>125</v>
      </c>
      <c r="C3" s="145" t="s">
        <v>133</v>
      </c>
      <c r="H3" s="146" t="s">
        <v>136</v>
      </c>
    </row>
    <row r="4" spans="1:8" x14ac:dyDescent="0.2">
      <c r="A4" s="47">
        <v>7.25</v>
      </c>
      <c r="B4" s="48">
        <v>11</v>
      </c>
      <c r="C4" s="147">
        <f>ATAN(A4/B4)</f>
        <v>0.58273949424997218</v>
      </c>
    </row>
    <row r="5" spans="1:8" ht="27.6" customHeight="1" x14ac:dyDescent="0.2">
      <c r="A5" s="148" t="s">
        <v>140</v>
      </c>
      <c r="B5" s="148" t="s">
        <v>126</v>
      </c>
      <c r="C5" s="145" t="s">
        <v>134</v>
      </c>
    </row>
    <row r="6" spans="1:8" x14ac:dyDescent="0.2">
      <c r="A6" s="155">
        <v>36</v>
      </c>
      <c r="B6" s="149">
        <f>A6*2*PI()</f>
        <v>226.1946710584651</v>
      </c>
      <c r="C6" s="150">
        <f>C4*180/(PI())</f>
        <v>33.388513576111514</v>
      </c>
    </row>
    <row r="7" spans="1:8" ht="22.5" x14ac:dyDescent="0.2">
      <c r="A7" s="151" t="s">
        <v>128</v>
      </c>
      <c r="B7" s="151" t="s">
        <v>127</v>
      </c>
      <c r="C7" s="148" t="s">
        <v>129</v>
      </c>
    </row>
    <row r="8" spans="1:8" x14ac:dyDescent="0.2">
      <c r="A8" s="149">
        <f>TAN(C4)*B6</f>
        <v>149.0828513794429</v>
      </c>
      <c r="B8" s="149">
        <f>SQRT(A8^2+B6^2)</f>
        <v>270.90538161998978</v>
      </c>
      <c r="C8" s="149">
        <f>B8</f>
        <v>270.90538161998978</v>
      </c>
    </row>
    <row r="9" spans="1:8" ht="33.75" x14ac:dyDescent="0.2">
      <c r="A9" s="148" t="s">
        <v>130</v>
      </c>
      <c r="B9" s="148" t="s">
        <v>132</v>
      </c>
      <c r="C9" s="148" t="s">
        <v>131</v>
      </c>
    </row>
    <row r="10" spans="1:8" x14ac:dyDescent="0.2">
      <c r="A10" s="132">
        <v>0.5</v>
      </c>
      <c r="B10" s="149">
        <f>B8/PI()/2</f>
        <v>43.115930595017666</v>
      </c>
      <c r="C10" s="149">
        <f>C8*A10</f>
        <v>135.45269080999489</v>
      </c>
    </row>
    <row r="11" spans="1:8" x14ac:dyDescent="0.2">
      <c r="A11" s="151"/>
      <c r="B11" s="151"/>
      <c r="C11" s="151"/>
    </row>
    <row r="12" spans="1:8" x14ac:dyDescent="0.2">
      <c r="A12" s="151"/>
      <c r="B12" s="151"/>
      <c r="C12" s="151"/>
    </row>
    <row r="13" spans="1:8" ht="22.5" x14ac:dyDescent="0.2">
      <c r="A13" s="148" t="s">
        <v>138</v>
      </c>
      <c r="B13" s="148" t="s">
        <v>137</v>
      </c>
      <c r="C13" s="151" t="s">
        <v>139</v>
      </c>
    </row>
    <row r="14" spans="1:8" x14ac:dyDescent="0.2">
      <c r="A14" s="156">
        <v>2</v>
      </c>
      <c r="B14" s="157">
        <v>2.2999999999999998</v>
      </c>
      <c r="C14" s="152">
        <f>A14*B14</f>
        <v>4.5999999999999996</v>
      </c>
    </row>
    <row r="15" spans="1:8" x14ac:dyDescent="0.2">
      <c r="A15" s="151"/>
      <c r="B15" s="151"/>
      <c r="C15" s="151"/>
    </row>
    <row r="21" spans="1:3" x14ac:dyDescent="0.2">
      <c r="A21" s="153"/>
      <c r="B21" s="153"/>
      <c r="C21" s="153"/>
    </row>
    <row r="22" spans="1:3" x14ac:dyDescent="0.2">
      <c r="A22" s="153"/>
      <c r="B22" s="153"/>
      <c r="C22" s="153"/>
    </row>
    <row r="23" spans="1:3" x14ac:dyDescent="0.2">
      <c r="A23" s="153"/>
      <c r="B23" s="153"/>
      <c r="C23" s="153"/>
    </row>
    <row r="24" spans="1:3" x14ac:dyDescent="0.2">
      <c r="A24" s="153"/>
      <c r="B24" s="153"/>
      <c r="C24" s="153"/>
    </row>
    <row r="25" spans="1:3" x14ac:dyDescent="0.2">
      <c r="A25" s="153"/>
      <c r="B25" s="153"/>
      <c r="C25" s="153"/>
    </row>
    <row r="26" spans="1:3" x14ac:dyDescent="0.2">
      <c r="A26" s="153"/>
      <c r="B26" s="153"/>
      <c r="C26" s="153"/>
    </row>
    <row r="27" spans="1:3" x14ac:dyDescent="0.2">
      <c r="A27" s="153"/>
      <c r="B27" s="153"/>
      <c r="C27" s="153"/>
    </row>
    <row r="28" spans="1:3" x14ac:dyDescent="0.2">
      <c r="A28" s="154"/>
      <c r="B28" s="154"/>
      <c r="C28" s="154"/>
    </row>
  </sheetData>
  <sheetProtection sheet="1" objects="1" scenarios="1"/>
  <phoneticPr fontId="0" type="noConversion"/>
  <pageMargins left="0.75" right="0.75" top="1" bottom="1" header="0.5" footer="0.5"/>
  <pageSetup orientation="portrait" horizontalDpi="300" verticalDpi="300" r:id="rId1"/>
  <headerFooter alignWithMargins="0"/>
  <drawing r:id="rId2"/>
  <legacyDrawing r:id="rId3"/>
  <oleObjects>
    <mc:AlternateContent xmlns:mc="http://schemas.openxmlformats.org/markup-compatibility/2006">
      <mc:Choice Requires="x14">
        <oleObject progId="QuickCAD.Drawing.6" shapeId="9221" r:id="rId4">
          <objectPr defaultSize="0" r:id="rId5">
            <anchor moveWithCells="1">
              <from>
                <xdr:col>3</xdr:col>
                <xdr:colOff>66675</xdr:colOff>
                <xdr:row>3</xdr:row>
                <xdr:rowOff>28575</xdr:rowOff>
              </from>
              <to>
                <xdr:col>9</xdr:col>
                <xdr:colOff>9525</xdr:colOff>
                <xdr:row>25</xdr:row>
                <xdr:rowOff>152400</xdr:rowOff>
              </to>
            </anchor>
          </objectPr>
        </oleObject>
      </mc:Choice>
      <mc:Fallback>
        <oleObject progId="QuickCAD.Drawing.6" shapeId="9221" r:id="rId4"/>
      </mc:Fallback>
    </mc:AlternateContent>
  </oleObjec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K126"/>
  <sheetViews>
    <sheetView zoomScale="75" workbookViewId="0">
      <selection activeCell="D19" sqref="D19"/>
    </sheetView>
  </sheetViews>
  <sheetFormatPr defaultColWidth="10" defaultRowHeight="10.5" x14ac:dyDescent="0.2"/>
  <cols>
    <col min="1" max="1" width="20" style="158" customWidth="1"/>
    <col min="2" max="2" width="17.28515625" style="158" customWidth="1"/>
    <col min="3" max="3" width="22" style="158" customWidth="1"/>
    <col min="4" max="4" width="24.28515625" style="158" customWidth="1"/>
    <col min="5" max="5" width="17.28515625" style="158" customWidth="1"/>
    <col min="6" max="6" width="22" style="158" customWidth="1"/>
    <col min="7" max="7" width="18.28515625" style="158" customWidth="1"/>
    <col min="8" max="8" width="18" style="158" customWidth="1"/>
    <col min="9" max="9" width="15.140625" style="158" customWidth="1"/>
    <col min="10" max="10" width="21.28515625" style="158" customWidth="1"/>
    <col min="11" max="16384" width="10" style="158"/>
  </cols>
  <sheetData>
    <row r="1" spans="1:11" ht="18" x14ac:dyDescent="0.2">
      <c r="A1" s="61"/>
      <c r="B1" s="61"/>
      <c r="C1" s="62" t="s">
        <v>50</v>
      </c>
      <c r="D1" s="62"/>
      <c r="E1" s="63" t="s">
        <v>99</v>
      </c>
      <c r="F1" s="64"/>
    </row>
    <row r="2" spans="1:11" ht="18" x14ac:dyDescent="0.2">
      <c r="A2" s="66"/>
      <c r="B2" s="67"/>
      <c r="C2" s="62"/>
      <c r="D2" s="68"/>
      <c r="E2" s="69">
        <f>E4*0.5</f>
        <v>12.499939549853831</v>
      </c>
      <c r="F2" s="70"/>
    </row>
    <row r="3" spans="1:11" ht="17.25" customHeight="1" x14ac:dyDescent="0.2">
      <c r="A3" s="71" t="s">
        <v>3</v>
      </c>
      <c r="B3" s="72" t="s">
        <v>1</v>
      </c>
      <c r="C3" s="73" t="s">
        <v>98</v>
      </c>
      <c r="D3" s="74" t="s">
        <v>100</v>
      </c>
      <c r="E3" s="74" t="s">
        <v>47</v>
      </c>
      <c r="F3" s="74" t="s">
        <v>48</v>
      </c>
    </row>
    <row r="4" spans="1:11" ht="21" customHeight="1" x14ac:dyDescent="0.2">
      <c r="A4" s="36">
        <v>28.843399999999999</v>
      </c>
      <c r="B4" s="36">
        <v>2.8492999999999999</v>
      </c>
      <c r="C4" s="126">
        <f>(ASIN(E2/A4))*2</f>
        <v>0.89646343568574394</v>
      </c>
      <c r="D4" s="127">
        <f>DEGREES(C4)</f>
        <v>51.36357135259064</v>
      </c>
      <c r="E4" s="77">
        <f>SQRT(B5)*2</f>
        <v>24.999879099707663</v>
      </c>
      <c r="F4" s="77">
        <f>(A4*2*PI())/360*D4</f>
        <v>25.857053460858182</v>
      </c>
    </row>
    <row r="5" spans="1:11" ht="11.25" x14ac:dyDescent="0.2">
      <c r="A5" s="78"/>
      <c r="B5" s="79">
        <f>B4*(2*A4-B4)</f>
        <v>156.24848875000001</v>
      </c>
      <c r="C5" s="78"/>
      <c r="D5" s="68"/>
      <c r="E5" s="74"/>
      <c r="F5" s="68"/>
    </row>
    <row r="6" spans="1:11" ht="17.25" customHeight="1" x14ac:dyDescent="0.2">
      <c r="A6" s="80"/>
      <c r="B6" s="38"/>
      <c r="C6" s="81" t="s">
        <v>101</v>
      </c>
      <c r="D6" s="82"/>
      <c r="E6" s="37"/>
      <c r="F6" s="37"/>
    </row>
    <row r="7" spans="1:11" ht="19.7" customHeight="1" x14ac:dyDescent="0.2">
      <c r="A7" s="83" t="s">
        <v>0</v>
      </c>
      <c r="B7" s="83" t="s">
        <v>1</v>
      </c>
      <c r="C7" s="38"/>
      <c r="D7" s="37"/>
      <c r="E7" s="84" t="s">
        <v>2</v>
      </c>
      <c r="F7" s="85" t="s">
        <v>48</v>
      </c>
    </row>
    <row r="8" spans="1:11" ht="11.25" x14ac:dyDescent="0.2">
      <c r="A8" s="36">
        <v>50.5</v>
      </c>
      <c r="B8" s="36">
        <v>10.5</v>
      </c>
      <c r="C8" s="86">
        <f>ATAN(B8/(A8/2))*2</f>
        <v>0.78817576987047433</v>
      </c>
      <c r="D8" s="86">
        <f>TAN(1.5708-C8)*(A8/2)</f>
        <v>25.110303520374199</v>
      </c>
      <c r="E8" s="87">
        <f>SQRT((D8^2)+(A8/2)^2)</f>
        <v>35.610249126976306</v>
      </c>
      <c r="F8" s="87">
        <f>E8*C8*2</f>
        <v>56.134271041867876</v>
      </c>
    </row>
    <row r="9" spans="1:11" ht="17.25" customHeight="1" x14ac:dyDescent="0.2">
      <c r="A9" s="88"/>
      <c r="B9" s="88"/>
      <c r="C9" s="89"/>
      <c r="D9" s="89"/>
      <c r="E9" s="90"/>
      <c r="F9" s="87"/>
    </row>
    <row r="10" spans="1:11" ht="22.5" x14ac:dyDescent="0.2">
      <c r="A10" s="91"/>
      <c r="B10" s="91"/>
      <c r="C10" s="92" t="s">
        <v>50</v>
      </c>
      <c r="D10" s="91"/>
      <c r="E10" s="93" t="s">
        <v>97</v>
      </c>
      <c r="F10" s="94" t="s">
        <v>96</v>
      </c>
    </row>
    <row r="11" spans="1:11" ht="18" x14ac:dyDescent="0.2">
      <c r="A11" s="91"/>
      <c r="B11" s="91"/>
      <c r="C11" s="95"/>
      <c r="D11" s="92"/>
      <c r="E11" s="128">
        <f>A13/2</f>
        <v>25.25</v>
      </c>
      <c r="F11" s="129">
        <f>SQRT((B13^2)-(E11^2))</f>
        <v>16.199922839322415</v>
      </c>
    </row>
    <row r="12" spans="1:11" ht="15" customHeight="1" x14ac:dyDescent="0.2">
      <c r="A12" s="98" t="s">
        <v>47</v>
      </c>
      <c r="B12" s="98" t="s">
        <v>2</v>
      </c>
      <c r="C12" s="93" t="s">
        <v>98</v>
      </c>
      <c r="D12" s="93" t="s">
        <v>95</v>
      </c>
      <c r="E12" s="99" t="s">
        <v>102</v>
      </c>
      <c r="F12" s="100" t="s">
        <v>48</v>
      </c>
    </row>
    <row r="13" spans="1:11" ht="15" customHeight="1" x14ac:dyDescent="0.2">
      <c r="A13" s="35">
        <v>50.5</v>
      </c>
      <c r="B13" s="34">
        <v>30</v>
      </c>
      <c r="C13" s="130">
        <f>(ASIN(E11/B13))*2</f>
        <v>2.0007245465327794</v>
      </c>
      <c r="D13" s="131">
        <f>DEGREES(C13)</f>
        <v>114.63307248455375</v>
      </c>
      <c r="E13" s="101">
        <f>B13-F11</f>
        <v>13.800077160677585</v>
      </c>
      <c r="F13" s="96">
        <f>(B13*2*PI())/360*D13</f>
        <v>60.021736395983382</v>
      </c>
    </row>
    <row r="14" spans="1:11" ht="22.5" customHeight="1" x14ac:dyDescent="0.2">
      <c r="A14" s="102"/>
      <c r="B14" s="103"/>
      <c r="C14" s="98"/>
      <c r="D14" s="104"/>
      <c r="E14" s="100"/>
      <c r="F14" s="104"/>
    </row>
    <row r="15" spans="1:11" ht="30" customHeight="1" x14ac:dyDescent="0.2">
      <c r="A15" s="159" t="s">
        <v>4</v>
      </c>
      <c r="B15" s="160" t="s">
        <v>5</v>
      </c>
      <c r="C15" s="161" t="s">
        <v>108</v>
      </c>
      <c r="D15" s="162"/>
      <c r="E15" s="163" t="s">
        <v>119</v>
      </c>
      <c r="F15" s="164"/>
      <c r="G15" s="163" t="s">
        <v>123</v>
      </c>
      <c r="I15" s="165">
        <f>(ASIN(I17/E16))*2</f>
        <v>1.4951686993380418</v>
      </c>
      <c r="J15" s="166">
        <f>DEGREES(I15)</f>
        <v>85.666856132134512</v>
      </c>
      <c r="K15" s="167">
        <f>SQRT(J16)*2</f>
        <v>61.188234163113421</v>
      </c>
    </row>
    <row r="16" spans="1:11" ht="21.75" customHeight="1" x14ac:dyDescent="0.2">
      <c r="A16" s="3">
        <v>12</v>
      </c>
      <c r="B16" s="3">
        <v>4</v>
      </c>
      <c r="C16" s="168" t="s">
        <v>6</v>
      </c>
      <c r="D16" s="162"/>
      <c r="E16" s="46">
        <v>45</v>
      </c>
      <c r="F16" s="164" t="s">
        <v>121</v>
      </c>
      <c r="G16" s="169">
        <f>K19</f>
        <v>43.081039237165541</v>
      </c>
      <c r="I16" s="170" t="s">
        <v>99</v>
      </c>
      <c r="J16" s="171">
        <f>E19*(2*E16-E19)</f>
        <v>936</v>
      </c>
      <c r="K16" s="172"/>
    </row>
    <row r="17" spans="1:11" ht="20.25" customHeight="1" x14ac:dyDescent="0.2">
      <c r="A17" s="173"/>
      <c r="B17" s="162"/>
      <c r="C17" s="174">
        <f>(A16/B16^2)+(A19*(A16/B16^2))+(B19*(A16/B16^2))</f>
        <v>0.75</v>
      </c>
      <c r="D17" s="162"/>
      <c r="E17" s="164"/>
      <c r="F17" s="169">
        <f>K15</f>
        <v>61.188234163113421</v>
      </c>
      <c r="G17" s="164"/>
      <c r="I17" s="167">
        <f>K15*0.5</f>
        <v>30.594117081556711</v>
      </c>
      <c r="J17" s="172"/>
      <c r="K17" s="172"/>
    </row>
    <row r="18" spans="1:11" ht="33.950000000000003" customHeight="1" x14ac:dyDescent="0.2">
      <c r="A18" s="175" t="s">
        <v>52</v>
      </c>
      <c r="B18" s="179" t="s">
        <v>51</v>
      </c>
      <c r="C18" s="162"/>
      <c r="D18" s="162"/>
      <c r="E18" s="163" t="s">
        <v>120</v>
      </c>
      <c r="F18" s="164"/>
      <c r="G18" s="163" t="s">
        <v>122</v>
      </c>
      <c r="I18" s="172"/>
      <c r="J18" s="172"/>
      <c r="K18" s="172"/>
    </row>
    <row r="19" spans="1:11" ht="23.45" customHeight="1" x14ac:dyDescent="0.2">
      <c r="A19" s="132">
        <v>0</v>
      </c>
      <c r="B19" s="132">
        <v>0</v>
      </c>
      <c r="C19" s="162"/>
      <c r="D19" s="162"/>
      <c r="E19" s="176">
        <f>A16</f>
        <v>12</v>
      </c>
      <c r="F19" s="164"/>
      <c r="G19" s="169">
        <f>A16+C17</f>
        <v>12.75</v>
      </c>
      <c r="I19" s="171">
        <f>ATAN(G19/(F17/2))*2</f>
        <v>0.78971877222903808</v>
      </c>
      <c r="J19" s="171">
        <f>TAN(1.5708-I19)*(F17/2)</f>
        <v>30.331105185175776</v>
      </c>
      <c r="K19" s="167">
        <f>SQRT((J19^2)+(F17/2)^2)</f>
        <v>43.081039237165541</v>
      </c>
    </row>
    <row r="20" spans="1:11" ht="28.5" customHeight="1" x14ac:dyDescent="0.2">
      <c r="A20" s="162"/>
      <c r="B20" s="162"/>
      <c r="C20" s="162"/>
      <c r="D20" s="162"/>
    </row>
    <row r="21" spans="1:11" ht="25.5" x14ac:dyDescent="0.2">
      <c r="A21" s="177" t="s">
        <v>53</v>
      </c>
      <c r="B21" s="177" t="s">
        <v>54</v>
      </c>
      <c r="C21" s="178" t="s">
        <v>55</v>
      </c>
      <c r="D21" s="162"/>
    </row>
    <row r="22" spans="1:11" ht="14.1" customHeight="1" x14ac:dyDescent="0.2">
      <c r="A22" s="162"/>
      <c r="B22" s="162"/>
      <c r="C22" s="162"/>
      <c r="D22" s="162"/>
    </row>
    <row r="23" spans="1:11" ht="14.1" customHeight="1" x14ac:dyDescent="0.2">
      <c r="A23" s="162" t="s">
        <v>56</v>
      </c>
      <c r="B23" s="162">
        <v>-7.0000000000000007E-2</v>
      </c>
      <c r="C23" s="162"/>
      <c r="D23" s="162"/>
    </row>
    <row r="24" spans="1:11" ht="14.1" customHeight="1" x14ac:dyDescent="0.2">
      <c r="A24" s="162" t="s">
        <v>57</v>
      </c>
      <c r="B24" s="162">
        <v>0.13</v>
      </c>
      <c r="C24" s="162"/>
      <c r="D24" s="162"/>
    </row>
    <row r="25" spans="1:11" ht="14.1" customHeight="1" x14ac:dyDescent="0.2">
      <c r="A25" s="162" t="s">
        <v>58</v>
      </c>
      <c r="B25" s="162">
        <v>0.11</v>
      </c>
      <c r="C25" s="162"/>
      <c r="D25" s="162"/>
    </row>
    <row r="26" spans="1:11" ht="14.1" customHeight="1" x14ac:dyDescent="0.2">
      <c r="A26" s="162" t="s">
        <v>59</v>
      </c>
      <c r="B26" s="162">
        <v>0</v>
      </c>
      <c r="C26" s="162"/>
      <c r="D26" s="162"/>
    </row>
    <row r="27" spans="1:11" ht="14.1" customHeight="1" x14ac:dyDescent="0.2">
      <c r="A27" s="162" t="s">
        <v>60</v>
      </c>
      <c r="B27" s="162">
        <v>0.1</v>
      </c>
      <c r="C27" s="162"/>
      <c r="D27" s="162"/>
    </row>
    <row r="28" spans="1:11" ht="14.1" customHeight="1" x14ac:dyDescent="0.2">
      <c r="A28" s="162" t="s">
        <v>61</v>
      </c>
      <c r="B28" s="162">
        <v>0.25</v>
      </c>
      <c r="C28" s="162"/>
      <c r="D28" s="162"/>
    </row>
    <row r="29" spans="1:11" ht="14.1" customHeight="1" x14ac:dyDescent="0.2">
      <c r="A29" s="162" t="s">
        <v>62</v>
      </c>
      <c r="B29" s="162">
        <v>-0.19</v>
      </c>
      <c r="C29" s="162"/>
      <c r="D29" s="162"/>
    </row>
    <row r="30" spans="1:11" ht="14.1" customHeight="1" x14ac:dyDescent="0.2">
      <c r="A30" s="162" t="s">
        <v>63</v>
      </c>
      <c r="B30" s="162">
        <v>0</v>
      </c>
      <c r="C30" s="162">
        <v>-0.36</v>
      </c>
      <c r="D30" s="162"/>
    </row>
    <row r="31" spans="1:11" ht="14.1" customHeight="1" x14ac:dyDescent="0.2">
      <c r="A31" s="162" t="s">
        <v>64</v>
      </c>
      <c r="B31" s="162">
        <v>-0.09</v>
      </c>
      <c r="C31" s="162"/>
      <c r="D31" s="162"/>
    </row>
    <row r="32" spans="1:11" ht="14.1" customHeight="1" x14ac:dyDescent="0.2">
      <c r="A32" s="162" t="s">
        <v>65</v>
      </c>
      <c r="B32" s="162">
        <v>0.12</v>
      </c>
      <c r="C32" s="162"/>
      <c r="D32" s="162"/>
    </row>
    <row r="33" spans="1:4" ht="14.1" customHeight="1" x14ac:dyDescent="0.2">
      <c r="A33" s="162" t="s">
        <v>66</v>
      </c>
      <c r="B33" s="162">
        <v>0.33</v>
      </c>
      <c r="C33" s="162"/>
      <c r="D33" s="162"/>
    </row>
    <row r="34" spans="1:4" ht="14.1" customHeight="1" x14ac:dyDescent="0.2">
      <c r="A34" s="162" t="s">
        <v>67</v>
      </c>
      <c r="B34" s="162">
        <v>0.25</v>
      </c>
      <c r="C34" s="162"/>
      <c r="D34" s="162"/>
    </row>
    <row r="35" spans="1:4" ht="14.1" customHeight="1" x14ac:dyDescent="0.2">
      <c r="A35" s="162" t="s">
        <v>68</v>
      </c>
      <c r="B35" s="162">
        <v>-0.28000000000000003</v>
      </c>
      <c r="C35" s="162"/>
      <c r="D35" s="162"/>
    </row>
    <row r="36" spans="1:4" ht="14.1" customHeight="1" x14ac:dyDescent="0.2">
      <c r="A36" s="162" t="s">
        <v>69</v>
      </c>
      <c r="B36" s="162">
        <v>0.17</v>
      </c>
      <c r="C36" s="162"/>
      <c r="D36" s="162"/>
    </row>
    <row r="37" spans="1:4" ht="14.1" customHeight="1" x14ac:dyDescent="0.2">
      <c r="A37" s="162" t="s">
        <v>70</v>
      </c>
      <c r="B37" s="162">
        <v>0.17</v>
      </c>
      <c r="C37" s="162"/>
      <c r="D37" s="162"/>
    </row>
    <row r="38" spans="1:4" ht="14.1" customHeight="1" x14ac:dyDescent="0.2">
      <c r="A38" s="162" t="s">
        <v>71</v>
      </c>
      <c r="B38" s="162">
        <v>0</v>
      </c>
      <c r="C38" s="162"/>
      <c r="D38" s="162"/>
    </row>
    <row r="39" spans="1:4" ht="14.1" customHeight="1" x14ac:dyDescent="0.2">
      <c r="A39" s="162" t="s">
        <v>72</v>
      </c>
      <c r="B39" s="162">
        <v>0.15</v>
      </c>
      <c r="C39" s="162"/>
      <c r="D39" s="162"/>
    </row>
    <row r="40" spans="1:4" ht="14.1" customHeight="1" x14ac:dyDescent="0.2">
      <c r="A40" s="162" t="s">
        <v>73</v>
      </c>
      <c r="B40" s="162">
        <v>-0.24</v>
      </c>
      <c r="C40" s="162"/>
      <c r="D40" s="162"/>
    </row>
    <row r="41" spans="1:4" ht="14.1" customHeight="1" x14ac:dyDescent="0.2">
      <c r="A41" s="162" t="s">
        <v>74</v>
      </c>
      <c r="B41" s="162">
        <v>-0.05</v>
      </c>
      <c r="C41" s="162"/>
      <c r="D41" s="162"/>
    </row>
    <row r="42" spans="1:4" ht="14.1" customHeight="1" x14ac:dyDescent="0.2">
      <c r="A42" s="162" t="s">
        <v>75</v>
      </c>
      <c r="B42" s="162">
        <v>0.09</v>
      </c>
      <c r="C42" s="162"/>
      <c r="D42" s="162"/>
    </row>
    <row r="43" spans="1:4" ht="14.1" customHeight="1" x14ac:dyDescent="0.2">
      <c r="A43" s="162" t="s">
        <v>76</v>
      </c>
      <c r="B43" s="162">
        <v>0.04</v>
      </c>
      <c r="C43" s="162"/>
      <c r="D43" s="162"/>
    </row>
    <row r="44" spans="1:4" ht="14.1" customHeight="1" x14ac:dyDescent="0.2">
      <c r="A44" s="162"/>
      <c r="B44" s="162"/>
      <c r="C44" s="162"/>
      <c r="D44" s="162"/>
    </row>
    <row r="45" spans="1:4" ht="14.1" customHeight="1" x14ac:dyDescent="0.2">
      <c r="A45" s="162" t="s">
        <v>77</v>
      </c>
      <c r="B45" s="162">
        <v>-0.3</v>
      </c>
      <c r="C45" s="162"/>
      <c r="D45" s="162"/>
    </row>
    <row r="46" spans="1:4" ht="14.1" customHeight="1" x14ac:dyDescent="0.2">
      <c r="A46" s="162" t="s">
        <v>78</v>
      </c>
      <c r="B46" s="162">
        <v>-0.25</v>
      </c>
      <c r="C46" s="162"/>
      <c r="D46" s="162"/>
    </row>
    <row r="47" spans="1:4" ht="14.1" customHeight="1" x14ac:dyDescent="0.2">
      <c r="A47" s="162" t="s">
        <v>79</v>
      </c>
      <c r="B47" s="162">
        <v>0.23</v>
      </c>
      <c r="C47" s="162"/>
      <c r="D47" s="162"/>
    </row>
    <row r="48" spans="1:4" ht="14.1" customHeight="1" x14ac:dyDescent="0.2">
      <c r="A48" s="162" t="s">
        <v>80</v>
      </c>
      <c r="B48" s="162">
        <v>0</v>
      </c>
      <c r="C48" s="162"/>
      <c r="D48" s="162"/>
    </row>
    <row r="49" spans="1:4" ht="14.1" customHeight="1" x14ac:dyDescent="0.2">
      <c r="A49" s="162" t="s">
        <v>81</v>
      </c>
      <c r="B49" s="162">
        <v>0.1</v>
      </c>
      <c r="C49" s="162"/>
      <c r="D49" s="162"/>
    </row>
    <row r="50" spans="1:4" ht="14.1" customHeight="1" x14ac:dyDescent="0.2">
      <c r="A50" s="162" t="s">
        <v>82</v>
      </c>
      <c r="B50" s="162">
        <v>-0.16</v>
      </c>
      <c r="C50" s="162"/>
      <c r="D50" s="162"/>
    </row>
    <row r="51" spans="1:4" ht="14.1" customHeight="1" x14ac:dyDescent="0.2">
      <c r="A51" s="162" t="s">
        <v>83</v>
      </c>
      <c r="B51" s="162">
        <v>-0.1</v>
      </c>
      <c r="C51" s="162"/>
      <c r="D51" s="162"/>
    </row>
    <row r="52" spans="1:4" ht="14.1" customHeight="1" x14ac:dyDescent="0.2">
      <c r="A52" s="162" t="s">
        <v>84</v>
      </c>
      <c r="B52" s="162">
        <v>-0.14000000000000001</v>
      </c>
      <c r="C52" s="162"/>
      <c r="D52" s="162"/>
    </row>
    <row r="53" spans="1:4" ht="14.1" customHeight="1" x14ac:dyDescent="0.2">
      <c r="A53" s="162" t="s">
        <v>85</v>
      </c>
      <c r="B53" s="162">
        <v>-0.21</v>
      </c>
      <c r="C53" s="162"/>
      <c r="D53" s="162"/>
    </row>
    <row r="54" spans="1:4" ht="14.1" customHeight="1" x14ac:dyDescent="0.2">
      <c r="A54" s="162" t="s">
        <v>86</v>
      </c>
      <c r="B54" s="162">
        <v>-0.26</v>
      </c>
      <c r="C54" s="162"/>
      <c r="D54" s="162"/>
    </row>
    <row r="55" spans="1:4" ht="14.1" customHeight="1" x14ac:dyDescent="0.2">
      <c r="A55" s="162" t="s">
        <v>87</v>
      </c>
      <c r="B55" s="162">
        <v>-0.03</v>
      </c>
      <c r="C55" s="162"/>
      <c r="D55" s="162"/>
    </row>
    <row r="56" spans="1:4" ht="14.1" customHeight="1" x14ac:dyDescent="0.2">
      <c r="A56" s="162"/>
      <c r="B56" s="162"/>
      <c r="C56" s="162"/>
      <c r="D56" s="162"/>
    </row>
    <row r="57" spans="1:4" ht="14.1" customHeight="1" x14ac:dyDescent="0.2">
      <c r="A57" s="162" t="s">
        <v>88</v>
      </c>
      <c r="B57" s="162">
        <v>0.4</v>
      </c>
      <c r="C57" s="162"/>
      <c r="D57" s="162"/>
    </row>
    <row r="58" spans="1:4" ht="14.1" customHeight="1" x14ac:dyDescent="0.2">
      <c r="A58" s="162" t="s">
        <v>89</v>
      </c>
      <c r="B58" s="162">
        <v>0.19</v>
      </c>
      <c r="C58" s="162"/>
      <c r="D58" s="162"/>
    </row>
    <row r="59" spans="1:4" ht="14.1" customHeight="1" x14ac:dyDescent="0.2">
      <c r="A59" s="162" t="s">
        <v>90</v>
      </c>
      <c r="B59" s="162">
        <v>-7.0000000000000007E-2</v>
      </c>
      <c r="C59" s="162"/>
      <c r="D59" s="162"/>
    </row>
    <row r="60" spans="1:4" ht="14.1" customHeight="1" x14ac:dyDescent="0.2">
      <c r="A60" s="162" t="s">
        <v>91</v>
      </c>
      <c r="B60" s="162">
        <v>0</v>
      </c>
      <c r="C60" s="162"/>
      <c r="D60" s="162"/>
    </row>
    <row r="61" spans="1:4" ht="14.1" customHeight="1" x14ac:dyDescent="0.2">
      <c r="A61" s="162" t="s">
        <v>92</v>
      </c>
      <c r="B61" s="162">
        <v>-0.6</v>
      </c>
      <c r="C61" s="162"/>
      <c r="D61" s="162"/>
    </row>
    <row r="62" spans="1:4" ht="14.1" customHeight="1" x14ac:dyDescent="0.2">
      <c r="A62" s="162" t="s">
        <v>93</v>
      </c>
      <c r="B62" s="162">
        <v>0.5</v>
      </c>
      <c r="C62" s="162"/>
      <c r="D62" s="162"/>
    </row>
    <row r="63" spans="1:4" ht="14.1" customHeight="1" x14ac:dyDescent="0.2">
      <c r="A63" s="162" t="s">
        <v>94</v>
      </c>
      <c r="B63" s="162">
        <v>0.03</v>
      </c>
      <c r="C63" s="162"/>
      <c r="D63" s="162"/>
    </row>
    <row r="64" spans="1:4" ht="14.1" customHeight="1" x14ac:dyDescent="0.2"/>
    <row r="65" ht="14.1" customHeight="1" x14ac:dyDescent="0.2"/>
    <row r="66" ht="14.1" customHeight="1" x14ac:dyDescent="0.2"/>
    <row r="67" ht="14.1" customHeight="1" x14ac:dyDescent="0.2"/>
    <row r="68" ht="14.1" customHeight="1" x14ac:dyDescent="0.2"/>
    <row r="69" ht="14.1" customHeight="1" x14ac:dyDescent="0.2"/>
    <row r="70" ht="14.1" customHeight="1" x14ac:dyDescent="0.2"/>
    <row r="71" ht="14.1" customHeight="1" x14ac:dyDescent="0.2"/>
    <row r="72" ht="14.1" customHeight="1" x14ac:dyDescent="0.2"/>
    <row r="73" ht="14.1" customHeight="1" x14ac:dyDescent="0.2"/>
    <row r="74" ht="14.1" customHeight="1" x14ac:dyDescent="0.2"/>
    <row r="75" ht="14.1" customHeight="1" x14ac:dyDescent="0.2"/>
    <row r="76" ht="14.1" customHeight="1" x14ac:dyDescent="0.2"/>
    <row r="77" ht="14.1" customHeight="1" x14ac:dyDescent="0.2"/>
    <row r="78" ht="14.1" customHeight="1" x14ac:dyDescent="0.2"/>
    <row r="79" ht="14.1" customHeight="1" x14ac:dyDescent="0.2"/>
    <row r="80" ht="14.1" customHeight="1" x14ac:dyDescent="0.2"/>
    <row r="81" ht="14.1" customHeight="1" x14ac:dyDescent="0.2"/>
    <row r="82" ht="14.1" customHeight="1" x14ac:dyDescent="0.2"/>
    <row r="83" ht="14.1" customHeight="1" x14ac:dyDescent="0.2"/>
    <row r="84" ht="14.1" customHeight="1" x14ac:dyDescent="0.2"/>
    <row r="85" ht="14.1" customHeight="1" x14ac:dyDescent="0.2"/>
    <row r="86" ht="14.1" customHeight="1" x14ac:dyDescent="0.2"/>
    <row r="87" ht="14.1" customHeight="1" x14ac:dyDescent="0.2"/>
    <row r="88" ht="14.1" customHeight="1" x14ac:dyDescent="0.2"/>
    <row r="89" ht="14.1" customHeight="1" x14ac:dyDescent="0.2"/>
    <row r="90" ht="14.1" customHeight="1" x14ac:dyDescent="0.2"/>
    <row r="91" ht="14.1" customHeight="1" x14ac:dyDescent="0.2"/>
    <row r="92" ht="14.1" customHeight="1" x14ac:dyDescent="0.2"/>
    <row r="93" ht="14.1" customHeight="1" x14ac:dyDescent="0.2"/>
    <row r="94" ht="14.1" customHeight="1" x14ac:dyDescent="0.2"/>
    <row r="95" ht="14.1" customHeight="1" x14ac:dyDescent="0.2"/>
    <row r="96" ht="14.1" customHeight="1" x14ac:dyDescent="0.2"/>
    <row r="97" ht="14.1" customHeight="1" x14ac:dyDescent="0.2"/>
    <row r="98" ht="14.1" customHeight="1" x14ac:dyDescent="0.2"/>
    <row r="99" ht="14.1" customHeight="1" x14ac:dyDescent="0.2"/>
    <row r="100" ht="14.1" customHeight="1" x14ac:dyDescent="0.2"/>
    <row r="101" ht="14.1" customHeight="1" x14ac:dyDescent="0.2"/>
    <row r="102" ht="14.1" customHeight="1" x14ac:dyDescent="0.2"/>
    <row r="103" ht="14.1" customHeight="1" x14ac:dyDescent="0.2"/>
    <row r="104" ht="14.1" customHeight="1" x14ac:dyDescent="0.2"/>
    <row r="105" ht="14.1" customHeight="1" x14ac:dyDescent="0.2"/>
    <row r="106" ht="14.1" customHeight="1" x14ac:dyDescent="0.2"/>
    <row r="107" ht="14.1" customHeight="1" x14ac:dyDescent="0.2"/>
    <row r="108" ht="14.1" customHeight="1" x14ac:dyDescent="0.2"/>
    <row r="109" ht="14.1" customHeight="1" x14ac:dyDescent="0.2"/>
    <row r="110" ht="14.1" customHeight="1" x14ac:dyDescent="0.2"/>
    <row r="111" ht="14.1" customHeight="1" x14ac:dyDescent="0.2"/>
    <row r="112" ht="14.1" customHeight="1" x14ac:dyDescent="0.2"/>
    <row r="113" ht="14.1" customHeight="1" x14ac:dyDescent="0.2"/>
    <row r="114" ht="14.1" customHeight="1" x14ac:dyDescent="0.2"/>
    <row r="115" ht="14.1" customHeight="1" x14ac:dyDescent="0.2"/>
    <row r="116" ht="14.1" customHeight="1" x14ac:dyDescent="0.2"/>
    <row r="117" ht="14.1" customHeight="1" x14ac:dyDescent="0.2"/>
    <row r="118" ht="14.1" customHeight="1" x14ac:dyDescent="0.2"/>
    <row r="119" ht="14.1" customHeight="1" x14ac:dyDescent="0.2"/>
    <row r="120" ht="14.1" customHeight="1" x14ac:dyDescent="0.2"/>
    <row r="121" ht="14.1" customHeight="1" x14ac:dyDescent="0.2"/>
    <row r="122" ht="14.1" customHeight="1" x14ac:dyDescent="0.2"/>
    <row r="123" ht="14.1" customHeight="1" x14ac:dyDescent="0.2"/>
    <row r="124" ht="14.1" customHeight="1" x14ac:dyDescent="0.2"/>
    <row r="125" ht="14.1" customHeight="1" x14ac:dyDescent="0.2"/>
    <row r="126" ht="14.1" customHeight="1" x14ac:dyDescent="0.2"/>
  </sheetData>
  <sheetProtection sheet="1" objects="1" scenarios="1"/>
  <phoneticPr fontId="0" type="noConversion"/>
  <pageMargins left="0.75" right="0.75" top="0.75" bottom="1" header="0.5" footer="0.75"/>
  <pageSetup orientation="portrait" horizontalDpi="300" verticalDpi="300" r:id="rId1"/>
  <headerFooter alignWithMargins="0"/>
  <drawing r:id="rId2"/>
  <legacyDrawing r:id="rId3"/>
  <oleObjects>
    <mc:AlternateContent xmlns:mc="http://schemas.openxmlformats.org/markup-compatibility/2006">
      <mc:Choice Requires="x14">
        <oleObject progId="QuickCAD.Drawing.6" shapeId="4097" r:id="rId4">
          <objectPr defaultSize="0" autoPict="0" r:id="rId5">
            <anchor moveWithCells="1">
              <from>
                <xdr:col>4</xdr:col>
                <xdr:colOff>38100</xdr:colOff>
                <xdr:row>19</xdr:row>
                <xdr:rowOff>38100</xdr:rowOff>
              </from>
              <to>
                <xdr:col>7</xdr:col>
                <xdr:colOff>314325</xdr:colOff>
                <xdr:row>33</xdr:row>
                <xdr:rowOff>142875</xdr:rowOff>
              </to>
            </anchor>
          </objectPr>
        </oleObject>
      </mc:Choice>
      <mc:Fallback>
        <oleObject progId="QuickCAD.Drawing.6" shapeId="4097" r:id="rId4"/>
      </mc:Fallback>
    </mc:AlternateContent>
    <mc:AlternateContent xmlns:mc="http://schemas.openxmlformats.org/markup-compatibility/2006">
      <mc:Choice Requires="x14">
        <oleObject progId="QuickCAD.Drawing.6" shapeId="4098" r:id="rId6">
          <objectPr defaultSize="0" autoPict="0" r:id="rId7">
            <anchor moveWithCells="1">
              <from>
                <xdr:col>6</xdr:col>
                <xdr:colOff>238125</xdr:colOff>
                <xdr:row>1</xdr:row>
                <xdr:rowOff>76200</xdr:rowOff>
              </from>
              <to>
                <xdr:col>8</xdr:col>
                <xdr:colOff>571500</xdr:colOff>
                <xdr:row>8</xdr:row>
                <xdr:rowOff>19050</xdr:rowOff>
              </to>
            </anchor>
          </objectPr>
        </oleObject>
      </mc:Choice>
      <mc:Fallback>
        <oleObject progId="QuickCAD.Drawing.6" shapeId="4098" r:id="rId6"/>
      </mc:Fallback>
    </mc:AlternateContent>
  </oleObjec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M21"/>
  <sheetViews>
    <sheetView zoomScale="75" workbookViewId="0">
      <selection activeCell="E3" sqref="E3"/>
    </sheetView>
  </sheetViews>
  <sheetFormatPr defaultColWidth="8.85546875" defaultRowHeight="12.75" x14ac:dyDescent="0.2"/>
  <cols>
    <col min="1" max="1" width="15.140625" style="186" customWidth="1"/>
    <col min="2" max="2" width="12.5703125" style="186" customWidth="1"/>
    <col min="3" max="3" width="10.28515625" style="186" customWidth="1"/>
    <col min="4" max="4" width="8.85546875" style="186"/>
    <col min="5" max="5" width="29.140625" style="186" customWidth="1"/>
    <col min="6" max="16384" width="8.85546875" style="186"/>
  </cols>
  <sheetData>
    <row r="1" spans="1:13" ht="76.5" customHeight="1" x14ac:dyDescent="0.2">
      <c r="A1" s="180"/>
      <c r="B1" s="181"/>
      <c r="C1" s="182"/>
      <c r="D1" s="183"/>
      <c r="E1" s="184" t="s">
        <v>25</v>
      </c>
      <c r="F1" s="29"/>
      <c r="G1" s="185" t="s">
        <v>109</v>
      </c>
      <c r="H1" s="56"/>
      <c r="I1" s="56"/>
      <c r="J1" s="56"/>
      <c r="K1" s="56"/>
      <c r="L1" s="56"/>
      <c r="M1" s="56"/>
    </row>
    <row r="2" spans="1:13" ht="56.25" x14ac:dyDescent="0.2">
      <c r="A2" s="187" t="s">
        <v>16</v>
      </c>
      <c r="B2" s="181"/>
      <c r="C2" s="188" t="s">
        <v>17</v>
      </c>
      <c r="D2" s="183"/>
      <c r="E2" s="189" t="s">
        <v>7</v>
      </c>
      <c r="F2" s="54"/>
      <c r="G2" s="54" t="str">
        <f>IF(SUM(D2:F2),SUM(D2:F2),"")</f>
        <v/>
      </c>
      <c r="H2" s="190" t="s">
        <v>23</v>
      </c>
      <c r="I2" s="190"/>
      <c r="J2" s="190" t="s">
        <v>24</v>
      </c>
      <c r="K2" s="191"/>
      <c r="L2" s="192"/>
      <c r="M2" s="191"/>
    </row>
    <row r="3" spans="1:13" x14ac:dyDescent="0.2">
      <c r="A3" s="3">
        <v>20</v>
      </c>
      <c r="B3" s="193">
        <f>A3*PI()/180</f>
        <v>0.3490658503988659</v>
      </c>
      <c r="C3" s="3">
        <v>30</v>
      </c>
      <c r="D3" s="193">
        <f>C3*PI()/180</f>
        <v>0.52359877559829882</v>
      </c>
      <c r="E3" s="194">
        <v>90</v>
      </c>
      <c r="F3" s="30">
        <f>E3*PI()/180</f>
        <v>1.5707963267948966</v>
      </c>
      <c r="G3" s="30">
        <f>ATAN((COS(D3)*TAN(B3)+SIN(D3)*COS(F3))/SIN(F3))</f>
        <v>0.30534955463875124</v>
      </c>
      <c r="H3" s="192">
        <f>G3*180/(PI())</f>
        <v>17.495240756999774</v>
      </c>
      <c r="I3" s="30">
        <f>ATAN((COS(B3)*TAN(D3)+SIN(B3)*COS(F3))/SIN(F3))</f>
        <v>0.4970913830544248</v>
      </c>
      <c r="J3" s="192">
        <f>I3*180/(PI())</f>
        <v>28.481238281339468</v>
      </c>
      <c r="K3" s="30"/>
      <c r="L3" s="30"/>
      <c r="M3" s="30"/>
    </row>
    <row r="4" spans="1:13" ht="33.75" x14ac:dyDescent="0.2">
      <c r="A4" s="195"/>
      <c r="B4" s="196"/>
      <c r="C4" s="197"/>
      <c r="D4" s="197"/>
      <c r="E4" s="195"/>
      <c r="F4" s="31"/>
      <c r="G4" s="31"/>
      <c r="H4" s="190" t="s">
        <v>30</v>
      </c>
      <c r="I4" s="31"/>
      <c r="J4" s="190" t="s">
        <v>29</v>
      </c>
      <c r="K4" s="30"/>
      <c r="L4" s="31"/>
      <c r="M4" s="192" t="s">
        <v>26</v>
      </c>
    </row>
    <row r="5" spans="1:13" ht="22.5" x14ac:dyDescent="0.2">
      <c r="A5" s="198" t="s">
        <v>27</v>
      </c>
      <c r="B5" s="194" t="s">
        <v>26</v>
      </c>
      <c r="C5" s="198" t="s">
        <v>28</v>
      </c>
      <c r="D5" s="171"/>
      <c r="E5" s="199"/>
      <c r="F5" s="30"/>
      <c r="G5" s="30"/>
      <c r="H5" s="192">
        <f>A3</f>
        <v>20</v>
      </c>
      <c r="I5" s="30">
        <f>(90-H5)*PI()/180</f>
        <v>1.2217304763960306</v>
      </c>
      <c r="J5" s="192">
        <f>C3</f>
        <v>30</v>
      </c>
      <c r="K5" s="30">
        <f>(90-J5)*PI()/180</f>
        <v>1.0471975511965976</v>
      </c>
      <c r="L5" s="30">
        <f>ASIN(SIN((I5+K5)/2)*SIN(F3/2))</f>
        <v>0.69561332039331969</v>
      </c>
      <c r="M5" s="30">
        <f>L5*180/(PI())</f>
        <v>39.85570743161874</v>
      </c>
    </row>
    <row r="6" spans="1:13" x14ac:dyDescent="0.2">
      <c r="A6" s="200">
        <f>H3</f>
        <v>17.495240756999774</v>
      </c>
      <c r="B6" s="200">
        <f>M5</f>
        <v>39.85570743161874</v>
      </c>
      <c r="C6" s="200">
        <f>J3</f>
        <v>28.481238281339468</v>
      </c>
      <c r="D6" s="188"/>
      <c r="E6" s="188"/>
      <c r="F6" s="32"/>
      <c r="G6" s="32"/>
      <c r="H6" s="32"/>
      <c r="I6" s="32"/>
      <c r="J6" s="32"/>
      <c r="K6" s="32"/>
      <c r="L6" s="32"/>
      <c r="M6" s="32"/>
    </row>
    <row r="8" spans="1:13" ht="18" x14ac:dyDescent="0.2">
      <c r="A8" s="201"/>
      <c r="B8" s="202"/>
      <c r="C8" s="203" t="s">
        <v>8</v>
      </c>
      <c r="D8" s="204"/>
      <c r="E8" s="205"/>
    </row>
    <row r="9" spans="1:13" ht="18.75" customHeight="1" x14ac:dyDescent="0.2">
      <c r="A9" s="206" t="s">
        <v>9</v>
      </c>
      <c r="B9" s="207" t="s">
        <v>10</v>
      </c>
      <c r="C9" s="207"/>
      <c r="D9" s="208" t="s">
        <v>11</v>
      </c>
      <c r="E9" s="205"/>
    </row>
    <row r="10" spans="1:13" ht="20.25" customHeight="1" x14ac:dyDescent="0.2">
      <c r="A10" s="3">
        <v>2.4500000000000002</v>
      </c>
      <c r="B10" s="3">
        <v>3.76</v>
      </c>
      <c r="C10" s="209">
        <f>ATAN(A10/B10)</f>
        <v>0.57749619163029586</v>
      </c>
      <c r="D10" s="210">
        <f>C10*180/(PI())</f>
        <v>33.088094465294169</v>
      </c>
      <c r="E10" s="205"/>
    </row>
    <row r="11" spans="1:13" x14ac:dyDescent="0.2">
      <c r="A11" s="205"/>
      <c r="B11" s="205"/>
      <c r="C11" s="205"/>
      <c r="D11" s="205"/>
      <c r="E11" s="205"/>
    </row>
    <row r="12" spans="1:13" x14ac:dyDescent="0.2">
      <c r="A12" s="205"/>
      <c r="B12" s="205"/>
      <c r="C12" s="205"/>
      <c r="D12" s="205"/>
      <c r="E12" s="205"/>
    </row>
    <row r="13" spans="1:13" x14ac:dyDescent="0.2">
      <c r="A13" s="205"/>
      <c r="B13" s="205"/>
      <c r="C13" s="205"/>
      <c r="D13" s="205"/>
      <c r="E13" s="205"/>
    </row>
    <row r="14" spans="1:13" x14ac:dyDescent="0.2">
      <c r="A14" s="205"/>
      <c r="B14" s="205"/>
      <c r="C14" s="205"/>
      <c r="D14" s="205"/>
      <c r="E14" s="205"/>
    </row>
    <row r="15" spans="1:13" x14ac:dyDescent="0.2">
      <c r="A15" s="205"/>
      <c r="B15" s="205"/>
      <c r="C15" s="205"/>
      <c r="D15" s="205"/>
      <c r="E15" s="205"/>
    </row>
    <row r="16" spans="1:13" x14ac:dyDescent="0.2">
      <c r="A16" s="205"/>
      <c r="B16" s="205"/>
      <c r="C16" s="205"/>
      <c r="D16" s="205"/>
      <c r="E16" s="205"/>
    </row>
    <row r="17" spans="1:5" x14ac:dyDescent="0.2">
      <c r="A17" s="205"/>
      <c r="B17" s="205"/>
      <c r="C17" s="205"/>
      <c r="D17" s="205"/>
      <c r="E17" s="205"/>
    </row>
    <row r="18" spans="1:5" x14ac:dyDescent="0.2">
      <c r="A18" s="205"/>
      <c r="B18" s="205"/>
      <c r="C18" s="205"/>
      <c r="D18" s="205"/>
      <c r="E18" s="205"/>
    </row>
    <row r="19" spans="1:5" x14ac:dyDescent="0.2">
      <c r="A19" s="205"/>
      <c r="B19" s="205"/>
      <c r="C19" s="205"/>
      <c r="D19" s="205"/>
      <c r="E19" s="205"/>
    </row>
    <row r="20" spans="1:5" x14ac:dyDescent="0.2">
      <c r="A20" s="205"/>
      <c r="B20" s="205"/>
      <c r="C20" s="205"/>
      <c r="D20" s="205"/>
      <c r="E20" s="205"/>
    </row>
    <row r="21" spans="1:5" x14ac:dyDescent="0.2">
      <c r="A21" s="205"/>
      <c r="B21" s="205"/>
      <c r="C21" s="205"/>
      <c r="D21" s="205"/>
      <c r="E21" s="205"/>
    </row>
  </sheetData>
  <sheetProtection sheet="1" objects="1" scenarios="1"/>
  <phoneticPr fontId="0" type="noConversion"/>
  <pageMargins left="0.75" right="0.75" top="1" bottom="1" header="0.5" footer="0.5"/>
  <pageSetup orientation="portrait" horizontalDpi="300" verticalDpi="300" r:id="rId1"/>
  <headerFooter alignWithMargins="0"/>
  <drawing r:id="rId2"/>
  <legacyDrawing r:id="rId3"/>
  <oleObjects>
    <mc:AlternateContent xmlns:mc="http://schemas.openxmlformats.org/markup-compatibility/2006">
      <mc:Choice Requires="x14">
        <oleObject progId="QuickCAD.Drawing.6" shapeId="5121" r:id="rId4">
          <objectPr defaultSize="0" autoPict="0" r:id="rId5">
            <anchor moveWithCells="1">
              <from>
                <xdr:col>5</xdr:col>
                <xdr:colOff>47625</xdr:colOff>
                <xdr:row>1</xdr:row>
                <xdr:rowOff>247650</xdr:rowOff>
              </from>
              <to>
                <xdr:col>13</xdr:col>
                <xdr:colOff>180975</xdr:colOff>
                <xdr:row>15</xdr:row>
                <xdr:rowOff>104775</xdr:rowOff>
              </to>
            </anchor>
          </objectPr>
        </oleObject>
      </mc:Choice>
      <mc:Fallback>
        <oleObject progId="QuickCAD.Drawing.6" shapeId="5121" r:id="rId4"/>
      </mc:Fallback>
    </mc:AlternateContent>
    <mc:AlternateContent xmlns:mc="http://schemas.openxmlformats.org/markup-compatibility/2006">
      <mc:Choice Requires="x14">
        <oleObject progId="QuickCAD.Drawing.6" shapeId="5122" r:id="rId6">
          <objectPr defaultSize="0" autoPict="0" r:id="rId7">
            <anchor moveWithCells="1">
              <from>
                <xdr:col>0</xdr:col>
                <xdr:colOff>647700</xdr:colOff>
                <xdr:row>11</xdr:row>
                <xdr:rowOff>0</xdr:rowOff>
              </from>
              <to>
                <xdr:col>4</xdr:col>
                <xdr:colOff>952500</xdr:colOff>
                <xdr:row>20</xdr:row>
                <xdr:rowOff>0</xdr:rowOff>
              </to>
            </anchor>
          </objectPr>
        </oleObject>
      </mc:Choice>
      <mc:Fallback>
        <oleObject progId="QuickCAD.Drawing.6" shapeId="5122" r:id="rId6"/>
      </mc:Fallback>
    </mc:AlternateContent>
  </oleObjec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H42"/>
  <sheetViews>
    <sheetView tabSelected="1" zoomScale="75" workbookViewId="0">
      <selection activeCell="D10" sqref="D10"/>
    </sheetView>
  </sheetViews>
  <sheetFormatPr defaultColWidth="10" defaultRowHeight="12.75" x14ac:dyDescent="0.25"/>
  <cols>
    <col min="1" max="1" width="20" style="235" customWidth="1"/>
    <col min="2" max="2" width="17.28515625" style="236" customWidth="1"/>
    <col min="3" max="3" width="22" style="236" customWidth="1"/>
    <col min="4" max="4" width="24.28515625" style="235" customWidth="1"/>
    <col min="5" max="5" width="25.28515625" style="235" customWidth="1"/>
    <col min="6" max="6" width="22" style="235" customWidth="1"/>
    <col min="7" max="7" width="16" style="235" customWidth="1"/>
    <col min="8" max="8" width="22.28515625" style="217" customWidth="1"/>
    <col min="9" max="9" width="15.140625" style="217" customWidth="1"/>
    <col min="10" max="10" width="21.28515625" style="217" customWidth="1"/>
    <col min="11" max="16384" width="10" style="217"/>
  </cols>
  <sheetData>
    <row r="1" spans="1:8" ht="58.5" x14ac:dyDescent="0.25">
      <c r="A1" s="211"/>
      <c r="B1" s="212"/>
      <c r="C1" s="213"/>
      <c r="D1" s="214" t="s">
        <v>18</v>
      </c>
      <c r="E1" s="215"/>
      <c r="F1" s="23"/>
      <c r="G1" s="23"/>
      <c r="H1" s="216"/>
    </row>
    <row r="2" spans="1:8" ht="45" x14ac:dyDescent="0.25">
      <c r="A2" s="218" t="s">
        <v>21</v>
      </c>
      <c r="B2" s="212"/>
      <c r="C2" s="219" t="s">
        <v>22</v>
      </c>
      <c r="D2" s="220"/>
      <c r="E2" s="221"/>
      <c r="F2" s="222" t="s">
        <v>19</v>
      </c>
      <c r="G2" s="22"/>
      <c r="H2" s="223" t="s">
        <v>20</v>
      </c>
    </row>
    <row r="3" spans="1:8" ht="13.5" x14ac:dyDescent="0.25">
      <c r="A3" s="25">
        <v>11.31</v>
      </c>
      <c r="B3" s="224">
        <f>(90-A3)*PI()/180</f>
        <v>1.373399588394338</v>
      </c>
      <c r="C3" s="4">
        <v>60</v>
      </c>
      <c r="D3" s="225">
        <f>C3*PI()/180</f>
        <v>1.0471975511965976</v>
      </c>
      <c r="E3" s="22">
        <f>ATAN(COS(B3)*TAN(D3/2))</f>
        <v>0.11274817151447662</v>
      </c>
      <c r="F3" s="226">
        <f>E3*180/(PI())</f>
        <v>6.4599943755966418</v>
      </c>
      <c r="G3" s="24">
        <f>ASIN(SIN(B3)*SIN(D3/2))</f>
        <v>0.51242271378791004</v>
      </c>
      <c r="H3" s="226">
        <f>G3*180/(PI())</f>
        <v>29.359658826687387</v>
      </c>
    </row>
    <row r="4" spans="1:8" ht="18" x14ac:dyDescent="0.25">
      <c r="A4" s="211"/>
      <c r="B4" s="227"/>
      <c r="C4" s="213"/>
      <c r="D4" s="228"/>
      <c r="E4" s="215"/>
      <c r="F4" s="23"/>
      <c r="G4" s="23"/>
      <c r="H4" s="216"/>
    </row>
    <row r="5" spans="1:8" ht="22.5" x14ac:dyDescent="0.25">
      <c r="A5" s="229" t="s">
        <v>31</v>
      </c>
      <c r="B5" s="212"/>
      <c r="C5" s="229" t="s">
        <v>32</v>
      </c>
      <c r="D5" s="230"/>
      <c r="E5" s="215"/>
      <c r="F5" s="23"/>
      <c r="G5" s="23"/>
      <c r="H5" s="216"/>
    </row>
    <row r="6" spans="1:8" ht="13.5" x14ac:dyDescent="0.25">
      <c r="A6" s="231">
        <f>F3</f>
        <v>6.4599943755966418</v>
      </c>
      <c r="B6" s="232"/>
      <c r="C6" s="233">
        <f>H3</f>
        <v>29.359658826687387</v>
      </c>
      <c r="D6" s="228"/>
      <c r="E6" s="234"/>
      <c r="F6" s="23"/>
      <c r="G6" s="23"/>
      <c r="H6" s="216"/>
    </row>
    <row r="7" spans="1:8" ht="24.75" customHeight="1" x14ac:dyDescent="0.25"/>
    <row r="8" spans="1:8" ht="18" x14ac:dyDescent="0.25">
      <c r="A8" s="237"/>
      <c r="B8" s="238"/>
      <c r="C8" s="239" t="s">
        <v>8</v>
      </c>
      <c r="D8" s="240"/>
    </row>
    <row r="9" spans="1:8" ht="22.5" customHeight="1" x14ac:dyDescent="0.25">
      <c r="A9" s="241" t="s">
        <v>9</v>
      </c>
      <c r="B9" s="242" t="s">
        <v>10</v>
      </c>
      <c r="C9" s="242"/>
      <c r="D9" s="243" t="s">
        <v>11</v>
      </c>
    </row>
    <row r="10" spans="1:8" ht="21" customHeight="1" x14ac:dyDescent="0.25">
      <c r="A10" s="25">
        <v>2</v>
      </c>
      <c r="B10" s="26">
        <v>10</v>
      </c>
      <c r="C10" s="244">
        <f>ATAN(A10/B10)</f>
        <v>0.19739555984988078</v>
      </c>
      <c r="D10" s="150">
        <f>C10*180/(PI())</f>
        <v>11.309932474020213</v>
      </c>
    </row>
    <row r="11" spans="1:8" ht="21" customHeight="1" x14ac:dyDescent="0.25">
      <c r="A11" s="245"/>
      <c r="B11" s="246"/>
      <c r="C11" s="246"/>
      <c r="D11" s="245"/>
    </row>
    <row r="12" spans="1:8" x14ac:dyDescent="0.25">
      <c r="A12" s="245"/>
      <c r="B12" s="246"/>
      <c r="C12" s="246"/>
      <c r="D12" s="245"/>
    </row>
    <row r="13" spans="1:8" x14ac:dyDescent="0.25">
      <c r="A13" s="245"/>
      <c r="B13" s="246"/>
      <c r="C13" s="246"/>
      <c r="D13" s="245"/>
    </row>
    <row r="14" spans="1:8" x14ac:dyDescent="0.25">
      <c r="A14" s="245"/>
      <c r="B14" s="246"/>
      <c r="C14" s="246"/>
      <c r="D14" s="245"/>
    </row>
    <row r="15" spans="1:8" x14ac:dyDescent="0.25">
      <c r="A15" s="245"/>
      <c r="B15" s="246"/>
      <c r="C15" s="246"/>
      <c r="D15" s="245"/>
      <c r="E15" s="247" t="s">
        <v>107</v>
      </c>
    </row>
    <row r="16" spans="1:8" x14ac:dyDescent="0.25">
      <c r="A16" s="245"/>
      <c r="B16" s="246"/>
      <c r="C16" s="246"/>
      <c r="D16" s="245"/>
    </row>
    <row r="17" spans="1:4" x14ac:dyDescent="0.25">
      <c r="A17" s="245"/>
      <c r="B17" s="246"/>
      <c r="C17" s="246"/>
      <c r="D17" s="245"/>
    </row>
    <row r="18" spans="1:4" x14ac:dyDescent="0.25">
      <c r="A18" s="245"/>
      <c r="B18" s="246"/>
      <c r="C18" s="246"/>
      <c r="D18" s="245"/>
    </row>
    <row r="19" spans="1:4" x14ac:dyDescent="0.25">
      <c r="A19" s="245"/>
      <c r="B19" s="246"/>
      <c r="C19" s="246"/>
      <c r="D19" s="245"/>
    </row>
    <row r="20" spans="1:4" x14ac:dyDescent="0.25">
      <c r="A20" s="245"/>
      <c r="B20" s="246"/>
      <c r="C20" s="246"/>
      <c r="D20" s="245"/>
    </row>
    <row r="21" spans="1:4" ht="25.5" customHeight="1" x14ac:dyDescent="0.25"/>
    <row r="22" spans="1:4" ht="18" x14ac:dyDescent="0.25">
      <c r="A22" s="248"/>
      <c r="B22" s="249"/>
      <c r="C22" s="250" t="s">
        <v>12</v>
      </c>
      <c r="D22" s="251"/>
    </row>
    <row r="23" spans="1:4" ht="27.75" customHeight="1" x14ac:dyDescent="0.25">
      <c r="A23" s="252" t="s">
        <v>13</v>
      </c>
      <c r="B23" s="253" t="s">
        <v>14</v>
      </c>
      <c r="C23" s="253" t="s">
        <v>15</v>
      </c>
      <c r="D23" s="254" t="s">
        <v>105</v>
      </c>
    </row>
    <row r="24" spans="1:4" ht="15.95" customHeight="1" x14ac:dyDescent="0.25">
      <c r="A24" s="25">
        <v>6</v>
      </c>
      <c r="B24" s="255">
        <f>(A24-2)*PI()/A24</f>
        <v>2.0943951023931953</v>
      </c>
      <c r="C24" s="255">
        <f>B24*180/(PI())</f>
        <v>119.99999999999999</v>
      </c>
      <c r="D24" s="256">
        <f>180-C24</f>
        <v>60.000000000000014</v>
      </c>
    </row>
    <row r="25" spans="1:4" x14ac:dyDescent="0.25">
      <c r="A25" s="251"/>
      <c r="B25" s="257"/>
      <c r="C25" s="257"/>
      <c r="D25" s="251"/>
    </row>
    <row r="26" spans="1:4" x14ac:dyDescent="0.25">
      <c r="A26" s="251"/>
      <c r="B26" s="257"/>
      <c r="C26" s="257"/>
      <c r="D26" s="251"/>
    </row>
    <row r="27" spans="1:4" x14ac:dyDescent="0.25">
      <c r="A27" s="251"/>
      <c r="B27" s="257"/>
      <c r="C27" s="257"/>
      <c r="D27" s="251"/>
    </row>
    <row r="28" spans="1:4" x14ac:dyDescent="0.25">
      <c r="A28" s="251"/>
      <c r="B28" s="257"/>
      <c r="C28" s="257"/>
      <c r="D28" s="251"/>
    </row>
    <row r="29" spans="1:4" x14ac:dyDescent="0.25">
      <c r="A29" s="251"/>
      <c r="B29" s="257"/>
      <c r="C29" s="257"/>
      <c r="D29" s="251"/>
    </row>
    <row r="30" spans="1:4" x14ac:dyDescent="0.25">
      <c r="A30" s="251"/>
      <c r="B30" s="257"/>
      <c r="C30" s="257"/>
      <c r="D30" s="251"/>
    </row>
    <row r="31" spans="1:4" x14ac:dyDescent="0.25">
      <c r="A31" s="251"/>
      <c r="B31" s="257"/>
      <c r="C31" s="257"/>
      <c r="D31" s="251"/>
    </row>
    <row r="32" spans="1:4" x14ac:dyDescent="0.25">
      <c r="A32" s="251"/>
      <c r="B32" s="257"/>
      <c r="C32" s="257"/>
      <c r="D32" s="251"/>
    </row>
    <row r="33" spans="1:4" x14ac:dyDescent="0.25">
      <c r="A33" s="251"/>
      <c r="B33" s="257"/>
      <c r="C33" s="257"/>
      <c r="D33" s="251"/>
    </row>
    <row r="34" spans="1:4" x14ac:dyDescent="0.25">
      <c r="A34" s="251"/>
      <c r="B34" s="257"/>
      <c r="C34" s="257"/>
      <c r="D34" s="251"/>
    </row>
    <row r="35" spans="1:4" x14ac:dyDescent="0.25">
      <c r="A35" s="251"/>
      <c r="B35" s="257"/>
      <c r="C35" s="257"/>
      <c r="D35" s="251"/>
    </row>
    <row r="36" spans="1:4" x14ac:dyDescent="0.25">
      <c r="A36" s="251"/>
      <c r="B36" s="257"/>
      <c r="C36" s="257"/>
      <c r="D36" s="251"/>
    </row>
    <row r="37" spans="1:4" x14ac:dyDescent="0.25">
      <c r="A37" s="251"/>
      <c r="B37" s="257"/>
      <c r="C37" s="257"/>
      <c r="D37" s="251"/>
    </row>
    <row r="38" spans="1:4" x14ac:dyDescent="0.25">
      <c r="A38" s="251"/>
      <c r="B38" s="257"/>
      <c r="C38" s="257"/>
      <c r="D38" s="251"/>
    </row>
    <row r="39" spans="1:4" x14ac:dyDescent="0.25">
      <c r="A39" s="251"/>
      <c r="B39" s="257"/>
      <c r="C39" s="257"/>
      <c r="D39" s="251"/>
    </row>
    <row r="40" spans="1:4" x14ac:dyDescent="0.25">
      <c r="A40" s="251"/>
      <c r="B40" s="257"/>
      <c r="C40" s="257"/>
      <c r="D40" s="251"/>
    </row>
    <row r="41" spans="1:4" x14ac:dyDescent="0.25">
      <c r="A41" s="251"/>
      <c r="B41" s="257"/>
      <c r="C41" s="257"/>
      <c r="D41" s="251"/>
    </row>
    <row r="42" spans="1:4" x14ac:dyDescent="0.25">
      <c r="A42" s="251"/>
      <c r="B42" s="257"/>
      <c r="C42" s="257"/>
      <c r="D42" s="251"/>
    </row>
  </sheetData>
  <sheetProtection sheet="1" objects="1" scenarios="1"/>
  <phoneticPr fontId="0" type="noConversion"/>
  <pageMargins left="0.75" right="0.75" top="0.75" bottom="1" header="0.5" footer="0.75"/>
  <pageSetup orientation="portrait" horizontalDpi="300" verticalDpi="300" r:id="rId1"/>
  <headerFooter alignWithMargins="0"/>
  <drawing r:id="rId2"/>
  <legacyDrawing r:id="rId3"/>
  <oleObjects>
    <mc:AlternateContent xmlns:mc="http://schemas.openxmlformats.org/markup-compatibility/2006">
      <mc:Choice Requires="x14">
        <oleObject progId="QuickCAD.Drawing.6" shapeId="6145" r:id="rId4">
          <objectPr defaultSize="0" autoPict="0" r:id="rId5">
            <anchor moveWithCells="1">
              <from>
                <xdr:col>0</xdr:col>
                <xdr:colOff>923925</xdr:colOff>
                <xdr:row>10</xdr:row>
                <xdr:rowOff>85725</xdr:rowOff>
              </from>
              <to>
                <xdr:col>3</xdr:col>
                <xdr:colOff>419100</xdr:colOff>
                <xdr:row>18</xdr:row>
                <xdr:rowOff>142875</xdr:rowOff>
              </to>
            </anchor>
          </objectPr>
        </oleObject>
      </mc:Choice>
      <mc:Fallback>
        <oleObject progId="QuickCAD.Drawing.6" shapeId="6145" r:id="rId4"/>
      </mc:Fallback>
    </mc:AlternateContent>
    <mc:AlternateContent xmlns:mc="http://schemas.openxmlformats.org/markup-compatibility/2006">
      <mc:Choice Requires="x14">
        <oleObject progId="QuickCAD.Drawing.6" shapeId="6147" r:id="rId6">
          <objectPr defaultSize="0" autoPict="0" r:id="rId7">
            <anchor moveWithCells="1">
              <from>
                <xdr:col>0</xdr:col>
                <xdr:colOff>1190625</xdr:colOff>
                <xdr:row>24</xdr:row>
                <xdr:rowOff>38100</xdr:rowOff>
              </from>
              <to>
                <xdr:col>2</xdr:col>
                <xdr:colOff>1143000</xdr:colOff>
                <xdr:row>41</xdr:row>
                <xdr:rowOff>9525</xdr:rowOff>
              </to>
            </anchor>
          </objectPr>
        </oleObject>
      </mc:Choice>
      <mc:Fallback>
        <oleObject progId="QuickCAD.Drawing.6" shapeId="6147" r:id="rId6"/>
      </mc:Fallback>
    </mc:AlternateContent>
    <mc:AlternateContent xmlns:mc="http://schemas.openxmlformats.org/markup-compatibility/2006">
      <mc:Choice Requires="x14">
        <oleObject progId="QuickCAD.Drawing.6" shapeId="6154" r:id="rId8">
          <objectPr defaultSize="0" autoPict="0" r:id="rId9">
            <anchor moveWithCells="1">
              <from>
                <xdr:col>4</xdr:col>
                <xdr:colOff>9525</xdr:colOff>
                <xdr:row>0</xdr:row>
                <xdr:rowOff>142875</xdr:rowOff>
              </from>
              <to>
                <xdr:col>7</xdr:col>
                <xdr:colOff>495300</xdr:colOff>
                <xdr:row>12</xdr:row>
                <xdr:rowOff>47625</xdr:rowOff>
              </to>
            </anchor>
          </objectPr>
        </oleObject>
      </mc:Choice>
      <mc:Fallback>
        <oleObject progId="QuickCAD.Drawing.6" shapeId="6154" r:id="rId8"/>
      </mc:Fallback>
    </mc:AlternateContent>
  </oleObjec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R9"/>
  <sheetViews>
    <sheetView workbookViewId="0">
      <selection activeCell="E5" sqref="E5"/>
    </sheetView>
  </sheetViews>
  <sheetFormatPr defaultColWidth="8.85546875" defaultRowHeight="12.75" x14ac:dyDescent="0.2"/>
  <cols>
    <col min="1" max="1" width="15.7109375" style="133" customWidth="1"/>
    <col min="2" max="2" width="15.140625" style="133" customWidth="1"/>
    <col min="3" max="3" width="17.140625" style="133" customWidth="1"/>
    <col min="4" max="4" width="16.85546875" style="133" customWidth="1"/>
    <col min="5" max="6" width="17.7109375" style="133" bestFit="1" customWidth="1"/>
    <col min="7" max="16384" width="8.85546875" style="133"/>
  </cols>
  <sheetData>
    <row r="1" spans="1:18" ht="30.75" customHeight="1" x14ac:dyDescent="0.2">
      <c r="A1" s="258"/>
      <c r="B1" s="259" t="s">
        <v>46</v>
      </c>
      <c r="C1" s="258"/>
      <c r="D1" s="260" t="s">
        <v>35</v>
      </c>
      <c r="E1" s="258"/>
      <c r="F1" s="258"/>
      <c r="G1" s="258"/>
      <c r="H1" s="258"/>
      <c r="I1" s="258"/>
      <c r="J1" s="258"/>
      <c r="K1" s="258"/>
      <c r="L1" s="258"/>
      <c r="M1" s="258"/>
      <c r="N1" s="258"/>
      <c r="O1" s="258"/>
      <c r="P1" s="258"/>
      <c r="Q1" s="258"/>
      <c r="R1" s="258"/>
    </row>
    <row r="2" spans="1:18" x14ac:dyDescent="0.2">
      <c r="A2" s="261" t="s">
        <v>47</v>
      </c>
      <c r="B2" s="261" t="s">
        <v>4</v>
      </c>
      <c r="C2" s="261" t="s">
        <v>2</v>
      </c>
      <c r="D2" s="261" t="s">
        <v>48</v>
      </c>
      <c r="E2" s="262" t="s">
        <v>110</v>
      </c>
      <c r="F2" s="258"/>
      <c r="G2" s="258"/>
      <c r="H2" s="258"/>
      <c r="I2" s="258"/>
      <c r="J2" s="258"/>
      <c r="K2" s="258"/>
      <c r="L2" s="258"/>
      <c r="M2" s="258"/>
      <c r="N2" s="258"/>
      <c r="O2" s="258"/>
      <c r="P2" s="258"/>
      <c r="Q2" s="258"/>
      <c r="R2" s="258"/>
    </row>
    <row r="3" spans="1:18" ht="15.95" customHeight="1" x14ac:dyDescent="0.2">
      <c r="A3" s="5">
        <v>102.129</v>
      </c>
      <c r="B3" s="5">
        <v>4</v>
      </c>
      <c r="C3" s="263">
        <f>F3/(B3*8)</f>
        <v>327.94789503125003</v>
      </c>
      <c r="D3" s="264">
        <f>C3*C4*2</f>
        <v>102.54626095215957</v>
      </c>
      <c r="E3" s="190">
        <f>A3^2</f>
        <v>10430.332641000001</v>
      </c>
      <c r="F3" s="190">
        <f>E3+(B3^2)*4</f>
        <v>10494.332641000001</v>
      </c>
      <c r="G3" s="258"/>
      <c r="H3" s="258"/>
      <c r="I3" s="258"/>
      <c r="J3" s="258"/>
      <c r="K3" s="258"/>
      <c r="L3" s="258"/>
      <c r="M3" s="258"/>
      <c r="N3" s="258"/>
      <c r="O3" s="258"/>
      <c r="P3" s="258"/>
      <c r="Q3" s="258"/>
      <c r="R3" s="258"/>
    </row>
    <row r="4" spans="1:18" ht="20.25" customHeight="1" x14ac:dyDescent="0.2">
      <c r="C4" s="265">
        <f>ATAN(B3/(A3/2))*2</f>
        <v>0.1563453562377462</v>
      </c>
      <c r="D4" s="266">
        <f>TAN(1.5708-C4)*(A3/2)</f>
        <v>323.95563155584949</v>
      </c>
    </row>
    <row r="5" spans="1:18" x14ac:dyDescent="0.2">
      <c r="A5" s="267" t="s">
        <v>47</v>
      </c>
      <c r="B5" s="267" t="s">
        <v>4</v>
      </c>
      <c r="C5" s="267" t="s">
        <v>2</v>
      </c>
      <c r="D5" s="267" t="s">
        <v>48</v>
      </c>
      <c r="E5" s="258"/>
      <c r="F5" s="258"/>
      <c r="G5" s="258"/>
      <c r="H5" s="258"/>
      <c r="I5" s="258"/>
      <c r="J5" s="258"/>
      <c r="K5" s="258"/>
      <c r="L5" s="258"/>
      <c r="M5" s="258"/>
      <c r="N5" s="258"/>
      <c r="O5" s="258"/>
      <c r="P5" s="258"/>
      <c r="Q5" s="258"/>
      <c r="R5" s="258"/>
    </row>
    <row r="6" spans="1:18" ht="18.75" customHeight="1" x14ac:dyDescent="0.2">
      <c r="A6" s="268">
        <f>SQRT(E6)*2</f>
        <v>102.129016444887</v>
      </c>
      <c r="B6" s="273">
        <v>4</v>
      </c>
      <c r="C6" s="273">
        <v>327.94799999999998</v>
      </c>
      <c r="D6" s="268">
        <f>C6*C7*2</f>
        <v>102.54627733002314</v>
      </c>
      <c r="E6" s="269">
        <f>B6*(2*C6-B6)</f>
        <v>2607.5839999999998</v>
      </c>
      <c r="F6" s="258"/>
      <c r="G6" s="258"/>
      <c r="H6" s="258"/>
      <c r="I6" s="258"/>
      <c r="J6" s="258"/>
      <c r="K6" s="258"/>
      <c r="L6" s="258"/>
      <c r="M6" s="258"/>
      <c r="N6" s="258"/>
      <c r="O6" s="258"/>
      <c r="P6" s="258"/>
      <c r="Q6" s="258"/>
      <c r="R6" s="258"/>
    </row>
    <row r="7" spans="1:18" x14ac:dyDescent="0.2">
      <c r="A7" s="270"/>
      <c r="B7" s="270"/>
      <c r="C7" s="271">
        <f>ATAN(B6/(A6/2))*2</f>
        <v>0.15634533116534199</v>
      </c>
      <c r="D7" s="270"/>
    </row>
    <row r="9" spans="1:18" ht="15" x14ac:dyDescent="0.2">
      <c r="C9" s="272" t="s">
        <v>49</v>
      </c>
    </row>
  </sheetData>
  <sheetProtection sheet="1" objects="1" scenarios="1"/>
  <phoneticPr fontId="0" type="noConversion"/>
  <pageMargins left="0.75" right="0.75" top="1" bottom="1" header="0.5" footer="0.5"/>
  <pageSetup orientation="portrait" horizontalDpi="300" verticalDpi="300" r:id="rId1"/>
  <headerFooter alignWithMargins="0"/>
  <drawing r:id="rId2"/>
  <legacyDrawing r:id="rId3"/>
  <oleObjects>
    <mc:AlternateContent xmlns:mc="http://schemas.openxmlformats.org/markup-compatibility/2006">
      <mc:Choice Requires="x14">
        <oleObject progId="QuickCAD.Drawing.6" shapeId="3074" r:id="rId4">
          <objectPr defaultSize="0" r:id="rId5">
            <anchor moveWithCells="1">
              <from>
                <xdr:col>0</xdr:col>
                <xdr:colOff>190500</xdr:colOff>
                <xdr:row>11</xdr:row>
                <xdr:rowOff>47625</xdr:rowOff>
              </from>
              <to>
                <xdr:col>5</xdr:col>
                <xdr:colOff>600075</xdr:colOff>
                <xdr:row>33</xdr:row>
                <xdr:rowOff>38100</xdr:rowOff>
              </to>
            </anchor>
          </objectPr>
        </oleObject>
      </mc:Choice>
      <mc:Fallback>
        <oleObject progId="QuickCAD.Drawing.6" shapeId="3074" r:id="rId4"/>
      </mc:Fallback>
    </mc:AlternateContent>
    <mc:AlternateContent xmlns:mc="http://schemas.openxmlformats.org/markup-compatibility/2006">
      <mc:Choice Requires="x14">
        <oleObject progId="QuickCAD.Drawing.6" shapeId="3076" r:id="rId6">
          <objectPr defaultSize="0" autoPict="0" r:id="rId7">
            <anchor moveWithCells="1">
              <from>
                <xdr:col>5</xdr:col>
                <xdr:colOff>828675</xdr:colOff>
                <xdr:row>1</xdr:row>
                <xdr:rowOff>142875</xdr:rowOff>
              </from>
              <to>
                <xdr:col>17</xdr:col>
                <xdr:colOff>257175</xdr:colOff>
                <xdr:row>35</xdr:row>
                <xdr:rowOff>95250</xdr:rowOff>
              </to>
            </anchor>
          </objectPr>
        </oleObject>
      </mc:Choice>
      <mc:Fallback>
        <oleObject progId="QuickCAD.Drawing.6" shapeId="3076" r:id="rId6"/>
      </mc:Fallback>
    </mc:AlternateContent>
  </oleObjec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M20"/>
  <sheetViews>
    <sheetView topLeftCell="A31" zoomScale="85" workbookViewId="0">
      <selection activeCell="B1" sqref="B1"/>
    </sheetView>
  </sheetViews>
  <sheetFormatPr defaultRowHeight="12.75" x14ac:dyDescent="0.2"/>
  <cols>
    <col min="1" max="1" width="21.7109375" style="14" customWidth="1"/>
    <col min="2" max="2" width="22.85546875" style="14" customWidth="1"/>
    <col min="3" max="3" width="17.42578125" style="14" customWidth="1"/>
    <col min="4" max="4" width="18" style="14" customWidth="1"/>
    <col min="5" max="5" width="19.140625" style="14" customWidth="1"/>
    <col min="6" max="6" width="15.42578125" style="14" customWidth="1"/>
    <col min="7" max="7" width="8.28515625" style="14" customWidth="1"/>
    <col min="8" max="16384" width="9.140625" style="14"/>
  </cols>
  <sheetData>
    <row r="1" spans="1:13" ht="42.75" x14ac:dyDescent="0.2">
      <c r="A1" s="11" t="s">
        <v>33</v>
      </c>
      <c r="B1" s="12"/>
      <c r="C1" s="1" t="s">
        <v>34</v>
      </c>
      <c r="D1" s="12"/>
      <c r="E1" s="13" t="s">
        <v>35</v>
      </c>
      <c r="F1" s="12"/>
      <c r="G1" s="12"/>
      <c r="H1" s="12"/>
      <c r="I1" s="12"/>
      <c r="J1" s="12"/>
      <c r="K1" s="12"/>
      <c r="L1" s="12"/>
      <c r="M1" s="12"/>
    </row>
    <row r="2" spans="1:13" ht="25.5" x14ac:dyDescent="0.2">
      <c r="A2" s="15" t="s">
        <v>36</v>
      </c>
      <c r="B2" s="15" t="s">
        <v>37</v>
      </c>
      <c r="C2" s="16" t="s">
        <v>38</v>
      </c>
      <c r="D2" s="16" t="s">
        <v>39</v>
      </c>
      <c r="E2" s="12"/>
      <c r="F2" s="12"/>
      <c r="G2" s="12"/>
      <c r="H2" s="12"/>
      <c r="I2" s="12"/>
      <c r="J2" s="12"/>
      <c r="K2" s="12"/>
      <c r="L2" s="12"/>
      <c r="M2" s="12"/>
    </row>
    <row r="3" spans="1:13" ht="18.75" customHeight="1" x14ac:dyDescent="0.2">
      <c r="A3" s="274">
        <v>14</v>
      </c>
      <c r="B3" s="274">
        <v>5</v>
      </c>
      <c r="C3" s="6">
        <f>PI()*(A3+B3)*(1+3*(F3)/(10+SQRT(4-3*(F3))))</f>
        <v>63.088384191070666</v>
      </c>
      <c r="D3" s="6">
        <f>C3/4</f>
        <v>15.772096047767667</v>
      </c>
      <c r="E3" s="12"/>
      <c r="F3" s="17">
        <f>(B3-A3)^2/(B3+A3)^2</f>
        <v>0.22437673130193905</v>
      </c>
      <c r="G3" s="12"/>
      <c r="H3" s="12"/>
      <c r="I3" s="12"/>
      <c r="J3" s="12"/>
      <c r="K3" s="12"/>
      <c r="L3" s="12"/>
      <c r="M3" s="12"/>
    </row>
    <row r="4" spans="1:13" x14ac:dyDescent="0.2">
      <c r="A4" s="16"/>
      <c r="B4" s="16"/>
      <c r="C4" s="16" t="s">
        <v>40</v>
      </c>
      <c r="D4" s="16" t="s">
        <v>41</v>
      </c>
      <c r="E4" s="12"/>
      <c r="F4" s="12"/>
      <c r="G4" s="12"/>
      <c r="H4" s="12"/>
      <c r="I4" s="12"/>
      <c r="J4" s="12"/>
      <c r="K4" s="12"/>
      <c r="L4" s="12"/>
      <c r="M4" s="12"/>
    </row>
    <row r="5" spans="1:13" ht="24.75" customHeight="1" x14ac:dyDescent="0.2">
      <c r="A5" s="16"/>
      <c r="B5" s="16"/>
      <c r="C5" s="6">
        <f>PI()*A3*B3</f>
        <v>219.91148575128551</v>
      </c>
      <c r="D5" s="6">
        <f>C5/4</f>
        <v>54.977871437821378</v>
      </c>
      <c r="E5" s="12"/>
      <c r="F5" s="12"/>
      <c r="G5" s="12"/>
      <c r="H5" s="12"/>
      <c r="I5" s="12"/>
      <c r="J5" s="12"/>
      <c r="K5" s="12"/>
      <c r="L5" s="12"/>
      <c r="M5" s="12"/>
    </row>
    <row r="6" spans="1:13" ht="24.75" customHeight="1" x14ac:dyDescent="0.2">
      <c r="A6" s="16"/>
      <c r="B6" s="16"/>
      <c r="C6" s="45" t="s">
        <v>115</v>
      </c>
      <c r="D6" s="6"/>
      <c r="E6" s="12"/>
      <c r="F6" s="12"/>
      <c r="G6" s="12"/>
      <c r="H6" s="12"/>
      <c r="I6" s="12"/>
      <c r="J6" s="12"/>
      <c r="K6" s="12"/>
      <c r="L6" s="12"/>
      <c r="M6" s="12"/>
    </row>
    <row r="7" spans="1:13" ht="18.75" customHeight="1" x14ac:dyDescent="0.2">
      <c r="A7" s="16"/>
      <c r="B7" s="16"/>
      <c r="C7" s="43">
        <f>A3/B3</f>
        <v>2.8</v>
      </c>
      <c r="D7" s="44" t="s">
        <v>116</v>
      </c>
      <c r="E7" s="12"/>
      <c r="F7" s="12"/>
      <c r="G7" s="12"/>
      <c r="H7" s="12"/>
      <c r="I7" s="12"/>
      <c r="J7" s="12"/>
      <c r="K7" s="12"/>
      <c r="L7" s="12"/>
      <c r="M7" s="12"/>
    </row>
    <row r="8" spans="1:13" ht="25.5" x14ac:dyDescent="0.2">
      <c r="A8" s="18"/>
      <c r="B8" s="18"/>
      <c r="C8" s="19" t="s">
        <v>42</v>
      </c>
      <c r="D8" s="20" t="s">
        <v>43</v>
      </c>
      <c r="E8" s="18"/>
      <c r="F8" s="18"/>
      <c r="G8" s="18"/>
      <c r="H8" s="18"/>
      <c r="I8" s="18"/>
      <c r="J8" s="18"/>
      <c r="K8" s="18"/>
      <c r="L8" s="12"/>
      <c r="M8" s="12"/>
    </row>
    <row r="9" spans="1:13" ht="25.5" x14ac:dyDescent="0.2">
      <c r="A9" s="7" t="s">
        <v>44</v>
      </c>
      <c r="B9" s="18"/>
      <c r="C9" s="8">
        <f>SQRT(((A3^2)-(B3^2)))*2</f>
        <v>26.153393661244042</v>
      </c>
      <c r="D9" s="9">
        <f>(SQRT((C9/2)^2+B3^2))*2+C9</f>
        <v>54.153393661244039</v>
      </c>
      <c r="E9" s="18"/>
      <c r="F9" s="18"/>
      <c r="G9" s="18"/>
      <c r="H9" s="18"/>
      <c r="I9" s="18"/>
      <c r="J9" s="18"/>
      <c r="K9" s="18"/>
      <c r="L9" s="12"/>
      <c r="M9" s="12"/>
    </row>
    <row r="10" spans="1:13" ht="28.5" customHeight="1" x14ac:dyDescent="0.2">
      <c r="A10" s="18"/>
      <c r="B10" s="18"/>
      <c r="C10" s="7" t="s">
        <v>117</v>
      </c>
      <c r="D10" s="20" t="s">
        <v>118</v>
      </c>
      <c r="E10" s="18"/>
      <c r="F10" s="18"/>
      <c r="G10" s="18"/>
      <c r="H10" s="18"/>
      <c r="I10" s="18"/>
      <c r="J10" s="18"/>
      <c r="K10" s="18"/>
      <c r="L10" s="12"/>
      <c r="M10" s="12"/>
    </row>
    <row r="11" spans="1:13" x14ac:dyDescent="0.2">
      <c r="A11" s="18"/>
      <c r="B11" s="18"/>
      <c r="C11" s="8">
        <f>SQRT((A3^2)+(B3^2))</f>
        <v>14.866068747318506</v>
      </c>
      <c r="D11" s="9">
        <f>((SQRT((C9/2)^2+B3^2))*2+C9)/2</f>
        <v>27.076696830622019</v>
      </c>
      <c r="E11" s="18"/>
      <c r="F11" s="18"/>
      <c r="G11" s="18"/>
      <c r="H11" s="18"/>
      <c r="I11" s="18"/>
      <c r="J11" s="18"/>
      <c r="K11" s="18"/>
      <c r="L11" s="12"/>
      <c r="M11" s="12"/>
    </row>
    <row r="12" spans="1:13" ht="20.25" customHeight="1" x14ac:dyDescent="0.2">
      <c r="A12" s="18"/>
      <c r="B12" s="18"/>
      <c r="C12" s="18"/>
      <c r="D12" s="18"/>
      <c r="E12" s="18"/>
      <c r="F12" s="18"/>
      <c r="G12" s="18"/>
      <c r="H12" s="18"/>
      <c r="I12" s="18"/>
      <c r="J12" s="18"/>
      <c r="K12" s="18"/>
      <c r="L12" s="12"/>
      <c r="M12" s="12"/>
    </row>
    <row r="13" spans="1:13" x14ac:dyDescent="0.2">
      <c r="A13" s="18"/>
      <c r="B13" s="18"/>
      <c r="C13" s="21"/>
      <c r="D13" s="18"/>
      <c r="E13" s="18"/>
      <c r="F13" s="18"/>
      <c r="G13" s="18"/>
      <c r="H13" s="18"/>
      <c r="I13" s="18"/>
      <c r="J13" s="18"/>
      <c r="K13" s="18"/>
      <c r="L13" s="12"/>
      <c r="M13" s="12"/>
    </row>
    <row r="14" spans="1:13" x14ac:dyDescent="0.2">
      <c r="A14" s="18"/>
      <c r="B14" s="18"/>
      <c r="C14" s="18"/>
      <c r="D14" s="18"/>
      <c r="E14" s="18"/>
      <c r="F14" s="18"/>
      <c r="G14" s="18"/>
      <c r="H14" s="18"/>
      <c r="I14" s="18"/>
      <c r="J14" s="18"/>
      <c r="K14" s="18"/>
      <c r="L14" s="12"/>
      <c r="M14" s="12"/>
    </row>
    <row r="15" spans="1:13" x14ac:dyDescent="0.2">
      <c r="A15" s="18"/>
      <c r="B15" s="18"/>
      <c r="C15" s="18"/>
      <c r="D15" s="18"/>
      <c r="E15" s="18"/>
      <c r="F15" s="18"/>
      <c r="G15" s="18"/>
      <c r="H15" s="18"/>
      <c r="I15" s="18"/>
      <c r="J15" s="18"/>
      <c r="K15" s="18"/>
      <c r="L15" s="12"/>
      <c r="M15" s="12"/>
    </row>
    <row r="16" spans="1:13" ht="36.75" customHeight="1" x14ac:dyDescent="0.2">
      <c r="A16" s="18"/>
      <c r="B16" s="18"/>
      <c r="C16" s="18"/>
      <c r="D16" s="18"/>
      <c r="E16" s="18"/>
      <c r="F16" s="18"/>
      <c r="G16" s="18"/>
      <c r="H16" s="18"/>
      <c r="I16" s="18"/>
      <c r="J16" s="18"/>
      <c r="K16" s="18"/>
      <c r="L16" s="12"/>
      <c r="M16" s="12"/>
    </row>
    <row r="17" spans="3:6" ht="29.25" customHeight="1" x14ac:dyDescent="0.2"/>
    <row r="18" spans="3:6" ht="46.5" customHeight="1" x14ac:dyDescent="0.2">
      <c r="C18" s="2" t="s">
        <v>45</v>
      </c>
    </row>
    <row r="20" spans="3:6" ht="42.75" customHeight="1" x14ac:dyDescent="0.2">
      <c r="F20" s="39" t="s">
        <v>111</v>
      </c>
    </row>
  </sheetData>
  <sheetProtection sheet="1" objects="1" scenarios="1"/>
  <phoneticPr fontId="0" type="noConversion"/>
  <pageMargins left="0.75" right="0.75" top="1" bottom="1" header="0.5" footer="0.5"/>
  <pageSetup orientation="portrait" horizontalDpi="300" verticalDpi="300" r:id="rId1"/>
  <headerFooter alignWithMargins="0"/>
  <drawing r:id="rId2"/>
  <legacyDrawing r:id="rId3"/>
  <oleObjects>
    <mc:AlternateContent xmlns:mc="http://schemas.openxmlformats.org/markup-compatibility/2006">
      <mc:Choice Requires="x14">
        <oleObject progId="QuickCAD.Drawing.6" shapeId="2049" r:id="rId4">
          <objectPr defaultSize="0" autoPict="0" r:id="rId5">
            <anchor moveWithCells="1">
              <from>
                <xdr:col>4</xdr:col>
                <xdr:colOff>209550</xdr:colOff>
                <xdr:row>7</xdr:row>
                <xdr:rowOff>123825</xdr:rowOff>
              </from>
              <to>
                <xdr:col>8</xdr:col>
                <xdr:colOff>238125</xdr:colOff>
                <xdr:row>15</xdr:row>
                <xdr:rowOff>238125</xdr:rowOff>
              </to>
            </anchor>
          </objectPr>
        </oleObject>
      </mc:Choice>
      <mc:Fallback>
        <oleObject progId="QuickCAD.Drawing.6" shapeId="2049" r:id="rId4"/>
      </mc:Fallback>
    </mc:AlternateContent>
    <mc:AlternateContent xmlns:mc="http://schemas.openxmlformats.org/markup-compatibility/2006">
      <mc:Choice Requires="x14">
        <oleObject progId="QuickCAD.Drawing.6" shapeId="2050" r:id="rId6">
          <objectPr defaultSize="0" r:id="rId7">
            <anchor moveWithCells="1">
              <from>
                <xdr:col>0</xdr:col>
                <xdr:colOff>400050</xdr:colOff>
                <xdr:row>33</xdr:row>
                <xdr:rowOff>104775</xdr:rowOff>
              </from>
              <to>
                <xdr:col>4</xdr:col>
                <xdr:colOff>981075</xdr:colOff>
                <xdr:row>52</xdr:row>
                <xdr:rowOff>38100</xdr:rowOff>
              </to>
            </anchor>
          </objectPr>
        </oleObject>
      </mc:Choice>
      <mc:Fallback>
        <oleObject progId="QuickCAD.Drawing.6" shapeId="2050" r:id="rId6"/>
      </mc:Fallback>
    </mc:AlternateContent>
    <mc:AlternateContent xmlns:mc="http://schemas.openxmlformats.org/markup-compatibility/2006">
      <mc:Choice Requires="x14">
        <oleObject progId="QuickCAD.Drawing.6" shapeId="2051" r:id="rId8">
          <objectPr defaultSize="0" r:id="rId9">
            <anchor moveWithCells="1">
              <from>
                <xdr:col>6</xdr:col>
                <xdr:colOff>123825</xdr:colOff>
                <xdr:row>33</xdr:row>
                <xdr:rowOff>104775</xdr:rowOff>
              </from>
              <to>
                <xdr:col>12</xdr:col>
                <xdr:colOff>133350</xdr:colOff>
                <xdr:row>47</xdr:row>
                <xdr:rowOff>85725</xdr:rowOff>
              </to>
            </anchor>
          </objectPr>
        </oleObject>
      </mc:Choice>
      <mc:Fallback>
        <oleObject progId="QuickCAD.Drawing.6" shapeId="2051" r:id="rId8"/>
      </mc:Fallback>
    </mc:AlternateContent>
    <mc:AlternateContent xmlns:mc="http://schemas.openxmlformats.org/markup-compatibility/2006">
      <mc:Choice Requires="x14">
        <oleObject progId="QuickCAD.Drawing.6" shapeId="2052" r:id="rId10">
          <objectPr defaultSize="0" autoPict="0" r:id="rId11">
            <anchor moveWithCells="1">
              <from>
                <xdr:col>4</xdr:col>
                <xdr:colOff>28575</xdr:colOff>
                <xdr:row>1</xdr:row>
                <xdr:rowOff>95250</xdr:rowOff>
              </from>
              <to>
                <xdr:col>11</xdr:col>
                <xdr:colOff>57150</xdr:colOff>
                <xdr:row>7</xdr:row>
                <xdr:rowOff>0</xdr:rowOff>
              </to>
            </anchor>
          </objectPr>
        </oleObject>
      </mc:Choice>
      <mc:Fallback>
        <oleObject progId="QuickCAD.Drawing.6" shapeId="2052" r:id="rId10"/>
      </mc:Fallback>
    </mc:AlternateContent>
    <mc:AlternateContent xmlns:mc="http://schemas.openxmlformats.org/markup-compatibility/2006">
      <mc:Choice Requires="x14">
        <oleObject progId="QuickCAD.Drawing.6" shapeId="2053" r:id="rId12">
          <objectPr defaultSize="0" autoPict="0" r:id="rId13">
            <anchor moveWithCells="1">
              <from>
                <xdr:col>0</xdr:col>
                <xdr:colOff>57150</xdr:colOff>
                <xdr:row>9</xdr:row>
                <xdr:rowOff>28575</xdr:rowOff>
              </from>
              <to>
                <xdr:col>2</xdr:col>
                <xdr:colOff>47625</xdr:colOff>
                <xdr:row>15</xdr:row>
                <xdr:rowOff>400050</xdr:rowOff>
              </to>
            </anchor>
          </objectPr>
        </oleObject>
      </mc:Choice>
      <mc:Fallback>
        <oleObject progId="QuickCAD.Drawing.6" shapeId="2053" r:id="rId12"/>
      </mc:Fallback>
    </mc:AlternateContent>
    <mc:AlternateContent xmlns:mc="http://schemas.openxmlformats.org/markup-compatibility/2006">
      <mc:Choice Requires="x14">
        <oleObject progId="QuickCAD.Drawing.6" shapeId="2054" r:id="rId14">
          <objectPr defaultSize="0" r:id="rId15">
            <anchor moveWithCells="1">
              <from>
                <xdr:col>0</xdr:col>
                <xdr:colOff>247650</xdr:colOff>
                <xdr:row>18</xdr:row>
                <xdr:rowOff>133350</xdr:rowOff>
              </from>
              <to>
                <xdr:col>4</xdr:col>
                <xdr:colOff>828675</xdr:colOff>
                <xdr:row>28</xdr:row>
                <xdr:rowOff>152400</xdr:rowOff>
              </to>
            </anchor>
          </objectPr>
        </oleObject>
      </mc:Choice>
      <mc:Fallback>
        <oleObject progId="QuickCAD.Drawing.6" shapeId="2054" r:id="rId14"/>
      </mc:Fallback>
    </mc:AlternateContent>
  </oleObjec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2:F5"/>
  <sheetViews>
    <sheetView workbookViewId="0">
      <pane xSplit="16890" topLeftCell="H1"/>
      <selection activeCell="F3" sqref="F3"/>
      <selection pane="topRight" activeCell="P1" sqref="P1"/>
    </sheetView>
  </sheetViews>
  <sheetFormatPr defaultRowHeight="12.75" x14ac:dyDescent="0.2"/>
  <cols>
    <col min="1" max="2" width="11.7109375" customWidth="1"/>
    <col min="3" max="3" width="12.28515625" customWidth="1"/>
    <col min="4" max="5" width="11.7109375" customWidth="1"/>
  </cols>
  <sheetData>
    <row r="2" spans="1:6" ht="29.25" customHeight="1" x14ac:dyDescent="0.2">
      <c r="A2" s="41"/>
      <c r="B2" s="41"/>
      <c r="C2" s="42" t="s">
        <v>113</v>
      </c>
      <c r="D2" s="41"/>
      <c r="E2" s="41"/>
      <c r="F2" s="40"/>
    </row>
    <row r="3" spans="1:6" x14ac:dyDescent="0.2">
      <c r="A3" s="41"/>
      <c r="B3" s="41"/>
      <c r="C3" s="41"/>
      <c r="D3" s="41"/>
      <c r="E3" s="41"/>
      <c r="F3" s="40"/>
    </row>
    <row r="4" spans="1:6" ht="24.75" customHeight="1" x14ac:dyDescent="0.2">
      <c r="A4" s="41" t="s">
        <v>1</v>
      </c>
      <c r="B4" s="41" t="s">
        <v>114</v>
      </c>
      <c r="C4" s="41"/>
      <c r="D4" s="41" t="s">
        <v>1</v>
      </c>
      <c r="E4" s="41" t="s">
        <v>114</v>
      </c>
      <c r="F4" s="40"/>
    </row>
    <row r="5" spans="1:6" ht="24.75" customHeight="1" x14ac:dyDescent="0.2">
      <c r="A5" s="274">
        <v>11</v>
      </c>
      <c r="B5" s="10">
        <f>A5*1.618</f>
        <v>17.798000000000002</v>
      </c>
      <c r="C5" s="16"/>
      <c r="D5" s="10">
        <f>E5/1.618</f>
        <v>5.2533992583436335</v>
      </c>
      <c r="E5" s="274">
        <v>8.5</v>
      </c>
    </row>
  </sheetData>
  <sheetProtection sheet="1" objects="1" scenarios="1"/>
  <phoneticPr fontId="0" type="noConversion"/>
  <pageMargins left="0.75" right="0.75" top="1" bottom="1" header="0.5" footer="0.5"/>
  <pageSetup orientation="portrait" horizontalDpi="300" verticalDpi="300" r:id="rId1"/>
  <headerFooter alignWithMargins="0"/>
  <drawing r:id="rId2"/>
  <legacyDrawing r:id="rId3"/>
  <oleObjects>
    <mc:AlternateContent xmlns:mc="http://schemas.openxmlformats.org/markup-compatibility/2006">
      <mc:Choice Requires="x14">
        <oleObject progId="QuickCAD.Drawing.6" shapeId="8196" r:id="rId4">
          <objectPr defaultSize="0" autoPict="0" r:id="rId5">
            <anchor moveWithCells="1">
              <from>
                <xdr:col>0</xdr:col>
                <xdr:colOff>0</xdr:colOff>
                <xdr:row>6</xdr:row>
                <xdr:rowOff>0</xdr:rowOff>
              </from>
              <to>
                <xdr:col>7</xdr:col>
                <xdr:colOff>352425</xdr:colOff>
                <xdr:row>33</xdr:row>
                <xdr:rowOff>104775</xdr:rowOff>
              </to>
            </anchor>
          </objectPr>
        </oleObject>
      </mc:Choice>
      <mc:Fallback>
        <oleObject progId="QuickCAD.Drawing.6" shapeId="8196" r:id="rId4"/>
      </mc:Fallback>
    </mc:AlternateContent>
    <mc:AlternateContent xmlns:mc="http://schemas.openxmlformats.org/markup-compatibility/2006">
      <mc:Choice Requires="x14">
        <oleObject progId="QuickCAD.Drawing.6" shapeId="8197" r:id="rId6">
          <objectPr defaultSize="0" autoPict="0" r:id="rId7">
            <anchor moveWithCells="1">
              <from>
                <xdr:col>7</xdr:col>
                <xdr:colOff>457200</xdr:colOff>
                <xdr:row>5</xdr:row>
                <xdr:rowOff>114300</xdr:rowOff>
              </from>
              <to>
                <xdr:col>14</xdr:col>
                <xdr:colOff>476250</xdr:colOff>
                <xdr:row>23</xdr:row>
                <xdr:rowOff>114300</xdr:rowOff>
              </to>
            </anchor>
          </objectPr>
        </oleObject>
      </mc:Choice>
      <mc:Fallback>
        <oleObject progId="QuickCAD.Drawing.6" shapeId="8197" r:id="rId6"/>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arcs</vt:lpstr>
      <vt:lpstr>ring segments</vt:lpstr>
      <vt:lpstr>stair</vt:lpstr>
      <vt:lpstr>helix stair</vt:lpstr>
      <vt:lpstr>springback</vt:lpstr>
      <vt:lpstr>dualslope</vt:lpstr>
      <vt:lpstr>crowncalc</vt:lpstr>
      <vt:lpstr>bigarcs</vt:lpstr>
      <vt:lpstr>ellipse</vt:lpstr>
      <vt:lpstr>proportion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Huntington</dc:creator>
  <cp:lastModifiedBy>Tony</cp:lastModifiedBy>
  <cp:lastPrinted>2003-12-06T02:07:54Z</cp:lastPrinted>
  <dcterms:created xsi:type="dcterms:W3CDTF">2002-06-29T22:49:38Z</dcterms:created>
  <dcterms:modified xsi:type="dcterms:W3CDTF">2013-05-07T05:28:23Z</dcterms:modified>
</cp:coreProperties>
</file>